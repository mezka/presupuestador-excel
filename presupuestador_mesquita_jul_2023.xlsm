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filterPrivacy="1" codeName="ThisWorkbook"/>
  <xr:revisionPtr revIDLastSave="0" documentId="13_ncr:1_{485D2105-481A-4F81-A32B-0E92FF2857E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tizador" sheetId="1" r:id="rId1"/>
    <sheet name="Precios Puertas" sheetId="4" r:id="rId2"/>
    <sheet name="Precios Herrajes" sheetId="5" r:id="rId3"/>
  </sheets>
  <definedNames>
    <definedName name="_xlnm._FilterDatabase" localSheetId="0" hidden="1">Cotizador!$A$10:$T$19</definedName>
    <definedName name="ACCESORIOS">Tabla1[DESCRIPCION]</definedName>
    <definedName name="descuentoTotalName">Cotizador!$T$16</definedName>
    <definedName name="fleteName">Cotizador!$S$14</definedName>
    <definedName name="I.V.A">Cotizador!$S$18</definedName>
    <definedName name="porcentajeDescuentoName">Cotizador!$S$16</definedName>
    <definedName name="PUERTAS">Tabla3[[#All],[DESCRIPCION]]</definedName>
    <definedName name="puertasItemsName">Cotizador!$J1:XFC1</definedName>
    <definedName name="subtotalConDescuentoName">Cotizador!$S$17</definedName>
    <definedName name="subtotalParcialName">Cotizador!$S$15</definedName>
    <definedName name="subtotalRangeName">Cotizador!$S$13:$T$13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3" i="1" l="1"/>
  <c r="A2" i="4" l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P13" i="1"/>
  <c r="L13" i="1"/>
  <c r="F426" i="4"/>
  <c r="E426" i="4"/>
  <c r="F425" i="4"/>
  <c r="E425" i="4"/>
  <c r="F424" i="4"/>
  <c r="E424" i="4"/>
  <c r="F423" i="4"/>
  <c r="E423" i="4"/>
  <c r="F422" i="4"/>
  <c r="E422" i="4"/>
  <c r="F421" i="4"/>
  <c r="E421" i="4"/>
  <c r="F420" i="4"/>
  <c r="E420" i="4"/>
  <c r="F419" i="4"/>
  <c r="E419" i="4"/>
  <c r="F418" i="4"/>
  <c r="E418" i="4"/>
  <c r="F417" i="4"/>
  <c r="E417" i="4"/>
  <c r="F416" i="4"/>
  <c r="E416" i="4"/>
  <c r="F415" i="4"/>
  <c r="E415" i="4"/>
  <c r="F414" i="4"/>
  <c r="E414" i="4"/>
  <c r="F413" i="4"/>
  <c r="E413" i="4"/>
  <c r="F412" i="4"/>
  <c r="E412" i="4"/>
  <c r="F411" i="4"/>
  <c r="E411" i="4"/>
  <c r="F409" i="4"/>
  <c r="E409" i="4"/>
  <c r="F408" i="4"/>
  <c r="E408" i="4"/>
  <c r="F407" i="4"/>
  <c r="E407" i="4"/>
  <c r="F406" i="4"/>
  <c r="E406" i="4"/>
  <c r="F405" i="4"/>
  <c r="E405" i="4"/>
  <c r="F404" i="4"/>
  <c r="E404" i="4"/>
  <c r="F403" i="4"/>
  <c r="E403" i="4"/>
  <c r="F402" i="4"/>
  <c r="E402" i="4"/>
  <c r="F401" i="4"/>
  <c r="E401" i="4"/>
  <c r="F400" i="4"/>
  <c r="E400" i="4"/>
  <c r="F399" i="4"/>
  <c r="E399" i="4"/>
  <c r="F398" i="4"/>
  <c r="E398" i="4"/>
  <c r="F397" i="4"/>
  <c r="E397" i="4"/>
  <c r="F396" i="4"/>
  <c r="E396" i="4"/>
  <c r="F395" i="4"/>
  <c r="E395" i="4"/>
  <c r="F394" i="4"/>
  <c r="E394" i="4"/>
  <c r="F392" i="4"/>
  <c r="E392" i="4"/>
  <c r="F391" i="4"/>
  <c r="E391" i="4"/>
  <c r="F390" i="4"/>
  <c r="E390" i="4"/>
  <c r="F389" i="4"/>
  <c r="E389" i="4"/>
  <c r="F388" i="4"/>
  <c r="E388" i="4"/>
  <c r="F387" i="4"/>
  <c r="E387" i="4"/>
  <c r="F386" i="4"/>
  <c r="E386" i="4"/>
  <c r="F385" i="4"/>
  <c r="E385" i="4"/>
  <c r="F384" i="4"/>
  <c r="E384" i="4"/>
  <c r="F383" i="4"/>
  <c r="E383" i="4"/>
  <c r="F382" i="4"/>
  <c r="E382" i="4"/>
  <c r="F381" i="4"/>
  <c r="E381" i="4"/>
  <c r="F380" i="4"/>
  <c r="E380" i="4"/>
  <c r="F379" i="4"/>
  <c r="E379" i="4"/>
  <c r="F378" i="4"/>
  <c r="E378" i="4"/>
  <c r="F377" i="4"/>
  <c r="E377" i="4"/>
  <c r="F375" i="4"/>
  <c r="E375" i="4"/>
  <c r="F374" i="4"/>
  <c r="E374" i="4"/>
  <c r="F373" i="4"/>
  <c r="E373" i="4"/>
  <c r="F372" i="4"/>
  <c r="E372" i="4"/>
  <c r="F371" i="4"/>
  <c r="E371" i="4"/>
  <c r="F370" i="4"/>
  <c r="E370" i="4"/>
  <c r="F369" i="4"/>
  <c r="E369" i="4"/>
  <c r="F368" i="4"/>
  <c r="E368" i="4"/>
  <c r="F367" i="4"/>
  <c r="E367" i="4"/>
  <c r="F366" i="4"/>
  <c r="E366" i="4"/>
  <c r="F365" i="4"/>
  <c r="E365" i="4"/>
  <c r="F364" i="4"/>
  <c r="E364" i="4"/>
  <c r="F363" i="4"/>
  <c r="E363" i="4"/>
  <c r="F362" i="4"/>
  <c r="E362" i="4"/>
  <c r="F361" i="4"/>
  <c r="E361" i="4"/>
  <c r="F360" i="4"/>
  <c r="E360" i="4"/>
  <c r="F358" i="4"/>
  <c r="E358" i="4"/>
  <c r="F357" i="4"/>
  <c r="E357" i="4"/>
  <c r="F356" i="4"/>
  <c r="E356" i="4"/>
  <c r="F355" i="4"/>
  <c r="E355" i="4"/>
  <c r="F354" i="4"/>
  <c r="E354" i="4"/>
  <c r="F353" i="4"/>
  <c r="E353" i="4"/>
  <c r="F352" i="4"/>
  <c r="E352" i="4"/>
  <c r="F351" i="4"/>
  <c r="E351" i="4"/>
  <c r="F350" i="4"/>
  <c r="E350" i="4"/>
  <c r="F349" i="4"/>
  <c r="E349" i="4"/>
  <c r="F348" i="4"/>
  <c r="E348" i="4"/>
  <c r="F347" i="4"/>
  <c r="E347" i="4"/>
  <c r="F346" i="4"/>
  <c r="E346" i="4"/>
  <c r="F345" i="4"/>
  <c r="E345" i="4"/>
  <c r="F344" i="4"/>
  <c r="E344" i="4"/>
  <c r="F343" i="4"/>
  <c r="E343" i="4"/>
  <c r="F341" i="4"/>
  <c r="E341" i="4"/>
  <c r="F340" i="4"/>
  <c r="E340" i="4"/>
  <c r="F339" i="4"/>
  <c r="E339" i="4"/>
  <c r="F338" i="4"/>
  <c r="E338" i="4"/>
  <c r="F337" i="4"/>
  <c r="E337" i="4"/>
  <c r="F336" i="4"/>
  <c r="E336" i="4"/>
  <c r="F335" i="4"/>
  <c r="E335" i="4"/>
  <c r="F334" i="4"/>
  <c r="E334" i="4"/>
  <c r="F333" i="4"/>
  <c r="E333" i="4"/>
  <c r="F332" i="4"/>
  <c r="E332" i="4"/>
  <c r="F331" i="4"/>
  <c r="E331" i="4"/>
  <c r="F330" i="4"/>
  <c r="E330" i="4"/>
  <c r="F329" i="4"/>
  <c r="E329" i="4"/>
  <c r="F328" i="4"/>
  <c r="E328" i="4"/>
  <c r="F327" i="4"/>
  <c r="E327" i="4"/>
  <c r="F326" i="4"/>
  <c r="E326" i="4"/>
  <c r="F324" i="4"/>
  <c r="E324" i="4"/>
  <c r="F323" i="4"/>
  <c r="E323" i="4"/>
  <c r="F322" i="4"/>
  <c r="E322" i="4"/>
  <c r="F321" i="4"/>
  <c r="E321" i="4"/>
  <c r="F320" i="4"/>
  <c r="E320" i="4"/>
  <c r="F319" i="4"/>
  <c r="E319" i="4"/>
  <c r="F318" i="4"/>
  <c r="E318" i="4"/>
  <c r="F317" i="4"/>
  <c r="E317" i="4"/>
  <c r="F316" i="4"/>
  <c r="E316" i="4"/>
  <c r="F315" i="4"/>
  <c r="E315" i="4"/>
  <c r="F314" i="4"/>
  <c r="E314" i="4"/>
  <c r="F313" i="4"/>
  <c r="E313" i="4"/>
  <c r="F312" i="4"/>
  <c r="E312" i="4"/>
  <c r="F311" i="4"/>
  <c r="E311" i="4"/>
  <c r="F310" i="4"/>
  <c r="E310" i="4"/>
  <c r="F309" i="4"/>
  <c r="E309" i="4"/>
  <c r="F307" i="4"/>
  <c r="E307" i="4"/>
  <c r="F306" i="4"/>
  <c r="E306" i="4"/>
  <c r="F305" i="4"/>
  <c r="E305" i="4"/>
  <c r="F304" i="4"/>
  <c r="E304" i="4"/>
  <c r="F303" i="4"/>
  <c r="E303" i="4"/>
  <c r="F302" i="4"/>
  <c r="E302" i="4"/>
  <c r="F301" i="4"/>
  <c r="E301" i="4"/>
  <c r="F300" i="4"/>
  <c r="E300" i="4"/>
  <c r="F299" i="4"/>
  <c r="E299" i="4"/>
  <c r="F298" i="4"/>
  <c r="E298" i="4"/>
  <c r="F297" i="4"/>
  <c r="E297" i="4"/>
  <c r="F296" i="4"/>
  <c r="E296" i="4"/>
  <c r="F295" i="4"/>
  <c r="E295" i="4"/>
  <c r="F294" i="4"/>
  <c r="E294" i="4"/>
  <c r="F293" i="4"/>
  <c r="E293" i="4"/>
  <c r="F292" i="4"/>
  <c r="E292" i="4"/>
  <c r="F290" i="4"/>
  <c r="E290" i="4"/>
  <c r="F289" i="4"/>
  <c r="E289" i="4"/>
  <c r="F288" i="4"/>
  <c r="E288" i="4"/>
  <c r="F287" i="4"/>
  <c r="E287" i="4"/>
  <c r="F286" i="4"/>
  <c r="E286" i="4"/>
  <c r="F285" i="4"/>
  <c r="E285" i="4"/>
  <c r="F284" i="4"/>
  <c r="E284" i="4"/>
  <c r="F283" i="4"/>
  <c r="E283" i="4"/>
  <c r="F282" i="4"/>
  <c r="E282" i="4"/>
  <c r="F281" i="4"/>
  <c r="E281" i="4"/>
  <c r="F280" i="4"/>
  <c r="E280" i="4"/>
  <c r="F279" i="4"/>
  <c r="E279" i="4"/>
  <c r="F278" i="4"/>
  <c r="E278" i="4"/>
  <c r="F277" i="4"/>
  <c r="E277" i="4"/>
  <c r="F276" i="4"/>
  <c r="E276" i="4"/>
  <c r="F275" i="4"/>
  <c r="E275" i="4"/>
  <c r="F273" i="4"/>
  <c r="E273" i="4"/>
  <c r="F272" i="4"/>
  <c r="E272" i="4"/>
  <c r="F271" i="4"/>
  <c r="E271" i="4"/>
  <c r="F270" i="4"/>
  <c r="E270" i="4"/>
  <c r="F269" i="4"/>
  <c r="E269" i="4"/>
  <c r="F268" i="4"/>
  <c r="E268" i="4"/>
  <c r="F267" i="4"/>
  <c r="E267" i="4"/>
  <c r="F266" i="4"/>
  <c r="E266" i="4"/>
  <c r="F265" i="4"/>
  <c r="E265" i="4"/>
  <c r="F264" i="4"/>
  <c r="E264" i="4"/>
  <c r="F263" i="4"/>
  <c r="E263" i="4"/>
  <c r="F262" i="4"/>
  <c r="E262" i="4"/>
  <c r="F261" i="4"/>
  <c r="E261" i="4"/>
  <c r="F260" i="4"/>
  <c r="E260" i="4"/>
  <c r="F259" i="4"/>
  <c r="E259" i="4"/>
  <c r="F258" i="4"/>
  <c r="E258" i="4"/>
  <c r="F256" i="4"/>
  <c r="E256" i="4"/>
  <c r="F255" i="4"/>
  <c r="E255" i="4"/>
  <c r="F254" i="4"/>
  <c r="E254" i="4"/>
  <c r="F253" i="4"/>
  <c r="E253" i="4"/>
  <c r="F252" i="4"/>
  <c r="E252" i="4"/>
  <c r="F251" i="4"/>
  <c r="E251" i="4"/>
  <c r="F250" i="4"/>
  <c r="E250" i="4"/>
  <c r="F249" i="4"/>
  <c r="E249" i="4"/>
  <c r="F248" i="4"/>
  <c r="E248" i="4"/>
  <c r="F247" i="4"/>
  <c r="E247" i="4"/>
  <c r="F246" i="4"/>
  <c r="E246" i="4"/>
  <c r="F245" i="4"/>
  <c r="E245" i="4"/>
  <c r="F244" i="4"/>
  <c r="E244" i="4"/>
  <c r="F243" i="4"/>
  <c r="E243" i="4"/>
  <c r="F242" i="4"/>
  <c r="E242" i="4"/>
  <c r="F241" i="4"/>
  <c r="E241" i="4"/>
  <c r="F239" i="4"/>
  <c r="E239" i="4"/>
  <c r="F238" i="4"/>
  <c r="E238" i="4"/>
  <c r="F237" i="4"/>
  <c r="E237" i="4"/>
  <c r="F236" i="4"/>
  <c r="E236" i="4"/>
  <c r="F235" i="4"/>
  <c r="E235" i="4"/>
  <c r="F234" i="4"/>
  <c r="E234" i="4"/>
  <c r="F233" i="4"/>
  <c r="E233" i="4"/>
  <c r="F232" i="4"/>
  <c r="E232" i="4"/>
  <c r="F231" i="4"/>
  <c r="E231" i="4"/>
  <c r="F230" i="4"/>
  <c r="E230" i="4"/>
  <c r="F229" i="4"/>
  <c r="E229" i="4"/>
  <c r="F228" i="4"/>
  <c r="E228" i="4"/>
  <c r="F227" i="4"/>
  <c r="E227" i="4"/>
  <c r="F226" i="4"/>
  <c r="E226" i="4"/>
  <c r="F225" i="4"/>
  <c r="E225" i="4"/>
  <c r="F224" i="4"/>
  <c r="E224" i="4"/>
  <c r="F222" i="4"/>
  <c r="E222" i="4"/>
  <c r="F221" i="4"/>
  <c r="E221" i="4"/>
  <c r="F220" i="4"/>
  <c r="E220" i="4"/>
  <c r="F219" i="4"/>
  <c r="E219" i="4"/>
  <c r="F218" i="4"/>
  <c r="E218" i="4"/>
  <c r="F217" i="4"/>
  <c r="E217" i="4"/>
  <c r="F216" i="4"/>
  <c r="E216" i="4"/>
  <c r="F215" i="4"/>
  <c r="E215" i="4"/>
  <c r="F214" i="4"/>
  <c r="E214" i="4"/>
  <c r="F213" i="4"/>
  <c r="E213" i="4"/>
  <c r="F212" i="4"/>
  <c r="E212" i="4"/>
  <c r="F211" i="4"/>
  <c r="E211" i="4"/>
  <c r="F210" i="4"/>
  <c r="E210" i="4"/>
  <c r="F209" i="4"/>
  <c r="E209" i="4"/>
  <c r="F208" i="4"/>
  <c r="E208" i="4"/>
  <c r="F207" i="4"/>
  <c r="E207" i="4"/>
  <c r="F205" i="4"/>
  <c r="E205" i="4"/>
  <c r="F204" i="4"/>
  <c r="E204" i="4"/>
  <c r="F203" i="4"/>
  <c r="E203" i="4"/>
  <c r="F202" i="4"/>
  <c r="E202" i="4"/>
  <c r="F201" i="4"/>
  <c r="E201" i="4"/>
  <c r="F200" i="4"/>
  <c r="E200" i="4"/>
  <c r="F199" i="4"/>
  <c r="E199" i="4"/>
  <c r="F198" i="4"/>
  <c r="E198" i="4"/>
  <c r="F197" i="4"/>
  <c r="E197" i="4"/>
  <c r="F196" i="4"/>
  <c r="E196" i="4"/>
  <c r="F195" i="4"/>
  <c r="E195" i="4"/>
  <c r="F194" i="4"/>
  <c r="E194" i="4"/>
  <c r="F193" i="4"/>
  <c r="E193" i="4"/>
  <c r="F192" i="4"/>
  <c r="E192" i="4"/>
  <c r="F191" i="4"/>
  <c r="E191" i="4"/>
  <c r="F190" i="4"/>
  <c r="E190" i="4"/>
  <c r="F188" i="4"/>
  <c r="E188" i="4"/>
  <c r="F187" i="4"/>
  <c r="E187" i="4"/>
  <c r="F186" i="4"/>
  <c r="E186" i="4"/>
  <c r="F185" i="4"/>
  <c r="E185" i="4"/>
  <c r="F184" i="4"/>
  <c r="E184" i="4"/>
  <c r="F183" i="4"/>
  <c r="E183" i="4"/>
  <c r="F182" i="4"/>
  <c r="E182" i="4"/>
  <c r="F181" i="4"/>
  <c r="E181" i="4"/>
  <c r="F180" i="4"/>
  <c r="E180" i="4"/>
  <c r="F179" i="4"/>
  <c r="E179" i="4"/>
  <c r="F178" i="4"/>
  <c r="E178" i="4"/>
  <c r="F177" i="4"/>
  <c r="E177" i="4"/>
  <c r="F176" i="4"/>
  <c r="E176" i="4"/>
  <c r="F175" i="4"/>
  <c r="E175" i="4"/>
  <c r="F174" i="4"/>
  <c r="E174" i="4"/>
  <c r="F173" i="4"/>
  <c r="E173" i="4"/>
  <c r="F86" i="4"/>
  <c r="E86" i="4"/>
  <c r="F85" i="4"/>
  <c r="E85" i="4"/>
  <c r="F84" i="4"/>
  <c r="E84" i="4"/>
  <c r="F83" i="4"/>
  <c r="E83" i="4"/>
  <c r="F82" i="4"/>
  <c r="E82" i="4"/>
  <c r="F81" i="4"/>
  <c r="E81" i="4"/>
  <c r="F80" i="4"/>
  <c r="E80" i="4"/>
  <c r="F79" i="4"/>
  <c r="E79" i="4"/>
  <c r="F78" i="4"/>
  <c r="E78" i="4"/>
  <c r="F77" i="4"/>
  <c r="E77" i="4"/>
  <c r="F76" i="4"/>
  <c r="E76" i="4"/>
  <c r="F75" i="4"/>
  <c r="E75" i="4"/>
  <c r="F74" i="4"/>
  <c r="E74" i="4"/>
  <c r="F73" i="4"/>
  <c r="E73" i="4"/>
  <c r="F72" i="4"/>
  <c r="E72" i="4"/>
  <c r="F71" i="4"/>
  <c r="E71" i="4"/>
  <c r="F69" i="4"/>
  <c r="E69" i="4"/>
  <c r="F68" i="4"/>
  <c r="E68" i="4"/>
  <c r="F67" i="4"/>
  <c r="E67" i="4"/>
  <c r="F66" i="4"/>
  <c r="E66" i="4"/>
  <c r="F65" i="4"/>
  <c r="E65" i="4"/>
  <c r="F64" i="4"/>
  <c r="E64" i="4"/>
  <c r="F63" i="4"/>
  <c r="E63" i="4"/>
  <c r="F62" i="4"/>
  <c r="E62" i="4"/>
  <c r="F61" i="4"/>
  <c r="E61" i="4"/>
  <c r="F60" i="4"/>
  <c r="E60" i="4"/>
  <c r="F59" i="4"/>
  <c r="E59" i="4"/>
  <c r="F58" i="4"/>
  <c r="E58" i="4"/>
  <c r="F57" i="4"/>
  <c r="E57" i="4"/>
  <c r="F56" i="4"/>
  <c r="E56" i="4"/>
  <c r="F55" i="4"/>
  <c r="E55" i="4"/>
  <c r="F54" i="4"/>
  <c r="E54" i="4"/>
  <c r="F52" i="4"/>
  <c r="E52" i="4"/>
  <c r="F51" i="4"/>
  <c r="E51" i="4"/>
  <c r="F50" i="4"/>
  <c r="E50" i="4"/>
  <c r="F49" i="4"/>
  <c r="E49" i="4"/>
  <c r="F48" i="4"/>
  <c r="E48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F171" i="4"/>
  <c r="E171" i="4"/>
  <c r="F170" i="4"/>
  <c r="E170" i="4"/>
  <c r="F169" i="4"/>
  <c r="E169" i="4"/>
  <c r="F168" i="4"/>
  <c r="E168" i="4"/>
  <c r="F167" i="4"/>
  <c r="E167" i="4"/>
  <c r="F166" i="4"/>
  <c r="E166" i="4"/>
  <c r="F165" i="4"/>
  <c r="E165" i="4"/>
  <c r="F164" i="4"/>
  <c r="E164" i="4"/>
  <c r="F163" i="4"/>
  <c r="E163" i="4"/>
  <c r="F162" i="4"/>
  <c r="E162" i="4"/>
  <c r="F161" i="4"/>
  <c r="E161" i="4"/>
  <c r="F160" i="4"/>
  <c r="E160" i="4"/>
  <c r="F159" i="4"/>
  <c r="E159" i="4"/>
  <c r="F158" i="4"/>
  <c r="E158" i="4"/>
  <c r="F157" i="4"/>
  <c r="E157" i="4"/>
  <c r="F156" i="4"/>
  <c r="E156" i="4"/>
  <c r="F154" i="4"/>
  <c r="E154" i="4"/>
  <c r="F153" i="4"/>
  <c r="E153" i="4"/>
  <c r="F152" i="4"/>
  <c r="E152" i="4"/>
  <c r="F151" i="4"/>
  <c r="E151" i="4"/>
  <c r="F150" i="4"/>
  <c r="E150" i="4"/>
  <c r="F149" i="4"/>
  <c r="E149" i="4"/>
  <c r="F148" i="4"/>
  <c r="E148" i="4"/>
  <c r="F147" i="4"/>
  <c r="E147" i="4"/>
  <c r="F146" i="4"/>
  <c r="E146" i="4"/>
  <c r="F145" i="4"/>
  <c r="E145" i="4"/>
  <c r="F144" i="4"/>
  <c r="E144" i="4"/>
  <c r="F143" i="4"/>
  <c r="E143" i="4"/>
  <c r="F142" i="4"/>
  <c r="E142" i="4"/>
  <c r="F141" i="4"/>
  <c r="E141" i="4"/>
  <c r="F140" i="4"/>
  <c r="E140" i="4"/>
  <c r="F139" i="4"/>
  <c r="E139" i="4"/>
  <c r="F137" i="4"/>
  <c r="E137" i="4"/>
  <c r="F136" i="4"/>
  <c r="E136" i="4"/>
  <c r="F135" i="4"/>
  <c r="E135" i="4"/>
  <c r="F134" i="4"/>
  <c r="E134" i="4"/>
  <c r="F133" i="4"/>
  <c r="E133" i="4"/>
  <c r="F132" i="4"/>
  <c r="E132" i="4"/>
  <c r="F131" i="4"/>
  <c r="E131" i="4"/>
  <c r="F130" i="4"/>
  <c r="E130" i="4"/>
  <c r="F129" i="4"/>
  <c r="E129" i="4"/>
  <c r="F128" i="4"/>
  <c r="E128" i="4"/>
  <c r="F127" i="4"/>
  <c r="E127" i="4"/>
  <c r="F126" i="4"/>
  <c r="E126" i="4"/>
  <c r="F125" i="4"/>
  <c r="E125" i="4"/>
  <c r="F124" i="4"/>
  <c r="E124" i="4"/>
  <c r="F123" i="4"/>
  <c r="E123" i="4"/>
  <c r="F122" i="4"/>
  <c r="E122" i="4"/>
  <c r="F120" i="4"/>
  <c r="E120" i="4"/>
  <c r="F119" i="4"/>
  <c r="E119" i="4"/>
  <c r="F118" i="4"/>
  <c r="E118" i="4"/>
  <c r="F117" i="4"/>
  <c r="E117" i="4"/>
  <c r="F116" i="4"/>
  <c r="E116" i="4"/>
  <c r="F115" i="4"/>
  <c r="E115" i="4"/>
  <c r="F114" i="4"/>
  <c r="E114" i="4"/>
  <c r="F113" i="4"/>
  <c r="E113" i="4"/>
  <c r="F112" i="4"/>
  <c r="E112" i="4"/>
  <c r="F111" i="4"/>
  <c r="E111" i="4"/>
  <c r="F110" i="4"/>
  <c r="E110" i="4"/>
  <c r="F109" i="4"/>
  <c r="E109" i="4"/>
  <c r="F108" i="4"/>
  <c r="E108" i="4"/>
  <c r="F107" i="4"/>
  <c r="E107" i="4"/>
  <c r="F106" i="4"/>
  <c r="E106" i="4"/>
  <c r="F105" i="4"/>
  <c r="E105" i="4"/>
  <c r="F103" i="4"/>
  <c r="E103" i="4"/>
  <c r="I13" i="1" l="1"/>
  <c r="H13" i="1"/>
  <c r="G13" i="1"/>
  <c r="F13" i="1"/>
  <c r="H2" i="1"/>
  <c r="F102" i="4" l="1"/>
  <c r="E102" i="4"/>
  <c r="F88" i="4" l="1"/>
  <c r="E88" i="4"/>
  <c r="F101" i="4" l="1"/>
  <c r="E101" i="4"/>
  <c r="F100" i="4"/>
  <c r="E100" i="4"/>
  <c r="F99" i="4"/>
  <c r="E99" i="4"/>
  <c r="F98" i="4"/>
  <c r="E98" i="4"/>
  <c r="F97" i="4"/>
  <c r="E97" i="4"/>
  <c r="F96" i="4"/>
  <c r="E96" i="4"/>
  <c r="F95" i="4"/>
  <c r="E95" i="4"/>
  <c r="F94" i="4"/>
  <c r="E94" i="4"/>
  <c r="F93" i="4"/>
  <c r="E93" i="4"/>
  <c r="F92" i="4"/>
  <c r="E92" i="4"/>
  <c r="F91" i="4"/>
  <c r="E91" i="4"/>
  <c r="F90" i="4"/>
  <c r="E90" i="4"/>
  <c r="F89" i="4"/>
  <c r="E89" i="4"/>
  <c r="J13" i="1"/>
  <c r="R13" i="1"/>
  <c r="S13" i="1"/>
  <c r="S15" i="1" l="1"/>
  <c r="T16" i="1" s="1"/>
  <c r="S17" i="1" l="1"/>
  <c r="S18" i="1"/>
  <c r="S1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981E7E6-F228-4C04-A30D-3B7D78ADE44A}" keepAlive="1" name="Consulta - Tabla1" description="Conexión a la consulta 'Tabla1' en el libro." type="5" refreshedVersion="0" background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<sst xmlns="http://schemas.openxmlformats.org/spreadsheetml/2006/main" count="524" uniqueCount="96">
  <si>
    <t>ITEM</t>
  </si>
  <si>
    <t>DESCRIPCIÓN</t>
  </si>
  <si>
    <t>CANT. IZQ</t>
  </si>
  <si>
    <t>CANT. DER</t>
  </si>
  <si>
    <t>ANCHO</t>
  </si>
  <si>
    <t>ALTO</t>
  </si>
  <si>
    <t>PASO LIBRE</t>
  </si>
  <si>
    <t>MARCO TERMINADO</t>
  </si>
  <si>
    <t>DIMENSIONES</t>
  </si>
  <si>
    <t>PRESUPUESTO Nº</t>
  </si>
  <si>
    <t>FECHA</t>
  </si>
  <si>
    <t>CONTACTO</t>
  </si>
  <si>
    <t>OBRA</t>
  </si>
  <si>
    <t>TELEFONO</t>
  </si>
  <si>
    <t>PRECIO</t>
  </si>
  <si>
    <t>ALTO MT</t>
  </si>
  <si>
    <t>ANCHO MT</t>
  </si>
  <si>
    <t>ALTO PL</t>
  </si>
  <si>
    <t>ANCHO PL</t>
  </si>
  <si>
    <t>DESCRIPCION</t>
  </si>
  <si>
    <t>Precio Unitario</t>
  </si>
  <si>
    <t>Precio Total</t>
  </si>
  <si>
    <t>4954-2224</t>
  </si>
  <si>
    <t>I.V.A</t>
  </si>
  <si>
    <t>Total</t>
  </si>
  <si>
    <t>ventas@mesquita.com.ar</t>
  </si>
  <si>
    <t>E-mail</t>
  </si>
  <si>
    <t>IMPRESIÓN GRIS</t>
  </si>
  <si>
    <t>TERMINACION UNICA</t>
  </si>
  <si>
    <t>BARRAL ANTIPÁNICO TOUCH (TECLA)</t>
  </si>
  <si>
    <t>MIRILLA GRAN ANGULAR 360º</t>
  </si>
  <si>
    <t>DOBLE PASADOR DE EMBUTIR</t>
  </si>
  <si>
    <t>VENT CRISTAL CORTAFUEGO PYROSHIELD 400X300</t>
  </si>
  <si>
    <t>Descuento</t>
  </si>
  <si>
    <t>Subtotal parcial</t>
  </si>
  <si>
    <t>Subtotal con descuento</t>
  </si>
  <si>
    <t>RF30</t>
  </si>
  <si>
    <t>MODELO</t>
  </si>
  <si>
    <t>RF60</t>
  </si>
  <si>
    <t>RF90</t>
  </si>
  <si>
    <t>CH18</t>
  </si>
  <si>
    <t>RF120</t>
  </si>
  <si>
    <t>BARRAL ANTIPANICO SIMPLE PUSH JAQUE</t>
  </si>
  <si>
    <t>BARRAL ANTIPANICO SIMPLE PUSH HAFELE</t>
  </si>
  <si>
    <t>BARRAL ANTIPANICO CON FALLEBA PUSH JAQUE</t>
  </si>
  <si>
    <t>BARRAL ANTIPANICO SIMPLE PUSH C/MICRO</t>
  </si>
  <si>
    <t>BARRAL ANTIPANICO CON FALLEBA PUSH C/MICRO</t>
  </si>
  <si>
    <t>BARRAL ANTIPANICO TOUCH (TECLA) C/FALLEBA</t>
  </si>
  <si>
    <t>BARRAL TOUCH C/ MICRO SWITCH</t>
  </si>
  <si>
    <t>MANIJA EXTERIOR C/LLAVE NEGRA MULTIPUNTO JAQUE</t>
  </si>
  <si>
    <t>BARRAL PAD ECO JAQUE PLASTICO ROJO</t>
  </si>
  <si>
    <t>MANIJA EXTERIOR S/LLAVE ECO JAQUE PLASTICO NEGRO</t>
  </si>
  <si>
    <t>CIERRAPUERTA HIDRAULICO AEREO HAFELE</t>
  </si>
  <si>
    <t>BARRAL ANTIPANICO FALLEBA PUSH HAFELE</t>
  </si>
  <si>
    <t>MANIJA EXTERIOR C/LLAVE NEGRA HAFELE</t>
  </si>
  <si>
    <t>MANIJA EXTERIOR C/LLAVE YALE NEGRA JAQUE</t>
  </si>
  <si>
    <t>MANIJA DOBLE BALANCIN PARA INCENDIO IMPORTADA</t>
  </si>
  <si>
    <t>MEDIA MANIJA SANATORIO PLATIL C/BOCALLAVE</t>
  </si>
  <si>
    <t>MANIJA DOBLE BALANCIN SANATORIO PLATIL C/ BOCALLAVE</t>
  </si>
  <si>
    <t>POMO FIJO EXTERIOR REDONDO SANAT. PLATIL</t>
  </si>
  <si>
    <t>MANIJON EXTERIOR TIRADOR SANATORIO PLATIL</t>
  </si>
  <si>
    <t>MANIJON VERTICAL 300MM PASANINI INOX</t>
  </si>
  <si>
    <t>CERRADURA RODILLO VAIVEN KALLAY 5023</t>
  </si>
  <si>
    <t>CERRADURA DOBLE PALETA KALLAY 4000</t>
  </si>
  <si>
    <t>CERRADURA CENTRAL COMPUTADA EUROPERFIL KALLAY 2100</t>
  </si>
  <si>
    <t>CERROJO COMPUTADO EUROPERFIL</t>
  </si>
  <si>
    <t>TOPE DE RECORRIDO DE PISO</t>
  </si>
  <si>
    <t>TOPE DE RECORRIDO CON FRENO MAGNETICO</t>
  </si>
  <si>
    <t>VENT CRISTAL CORTAFUEGO PYROSHIELD 200X100</t>
  </si>
  <si>
    <t>VENT CRISTAL CORTAFUEGO PYROSHIELD 500X500</t>
  </si>
  <si>
    <t>VENT CRISTAL LAMINADO 3+3 200X100</t>
  </si>
  <si>
    <t>VENT CRISTAL LAMINADO 3+3 400X300</t>
  </si>
  <si>
    <t>VENT CRISTAL LAMINADO 3+3 500X500</t>
  </si>
  <si>
    <t>VENT CRISTAL LAMINADO 3+3 X M2 C/CARP</t>
  </si>
  <si>
    <t>VENT CRISTAL LAMINADO PYROSHIELD X M2 C/CARP</t>
  </si>
  <si>
    <t>VENT CRISTAL CORTAFUEGO PYROSTOP 30CM DIAM ESP 22MM</t>
  </si>
  <si>
    <t>VENT CRISTAL CORTAFUEGO PYROSTOP LAMINA 340X440MM MT380X480 ESP 22MM</t>
  </si>
  <si>
    <t>VENT CRISTAL CORTAFUEGO PYROSTOP LAMINA 325X425MM MT365X465 ESP 22MM</t>
  </si>
  <si>
    <t>REJILLA DE VENTILACION MT500X200MM</t>
  </si>
  <si>
    <t>ZOCALO INOXIDABLE 10CM ALTO 0.7MM PROF</t>
  </si>
  <si>
    <t>ZOCALO INOXIDABLE 15CM ALTO 0.7MM PROF</t>
  </si>
  <si>
    <t>ZOCALO INOXIDABLE 20CM ALTO 0.7MM PROF</t>
  </si>
  <si>
    <t>ZOCALO INOXIDABLE 30CM ALTO 0.7MM PROF</t>
  </si>
  <si>
    <t>CHAPON DE EMPUJE INOX 200X500MM</t>
  </si>
  <si>
    <t>Flete</t>
  </si>
  <si>
    <t>2066-6161</t>
  </si>
  <si>
    <t>H5SS_1_PLENO_SANITARIO_LADO_IZQUIERDO</t>
  </si>
  <si>
    <t>APERTURA</t>
  </si>
  <si>
    <t>IZQUIERDA</t>
  </si>
  <si>
    <t>MANIJON VERTICAL 600MM PASANINI INOX</t>
  </si>
  <si>
    <t>CP DEVELOPERS</t>
  </si>
  <si>
    <t>MESQUITA HNOS</t>
  </si>
  <si>
    <t>CALLAO CLASICO</t>
  </si>
  <si>
    <t>EM0002</t>
  </si>
  <si>
    <t>sperezquevedo@iancol.com.ar</t>
  </si>
  <si>
    <t>PUERTA CH18 1000X2000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</si>
</sst>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&quot;$&quot;\ * #,##0.00_ ;_ &quot;$&quot;\ * \-#,##0.00_ ;_ &quot;$&quot;\ * &quot;-&quot;??_ ;_ @_ "/>
    <numFmt numFmtId="165" formatCode="&quot;$&quot;\ #,##0.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entury Gothic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0"/>
      <color rgb="FF000000"/>
      <name val="Calibri"/>
      <scheme val="minor"/>
    </font>
    <font>
      <sz val="10"/>
      <color theme="1"/>
      <name val="Arial"/>
    </font>
    <font>
      <sz val="10"/>
      <color rgb="FF000000"/>
      <name val="Arial"/>
    </font>
    <font>
      <sz val="10"/>
      <color theme="1"/>
      <name val="Arial"/>
      <family val="2"/>
    </font>
    <font>
      <b/>
      <sz val="2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rgb="FFEAF1DD"/>
        <bgColor rgb="FFEAF1DD"/>
      </patternFill>
    </fill>
    <fill>
      <patternFill patternType="solid">
        <fgColor rgb="FFF2DBDB"/>
        <bgColor rgb="FFF2DBDB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8" fillId="0" borderId="0"/>
  </cellStyleXfs>
  <cellXfs count="1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1" xfId="0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0" borderId="11" xfId="0" applyBorder="1"/>
    <xf numFmtId="2" fontId="0" fillId="0" borderId="11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 textRotation="90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0" borderId="3" xfId="1" applyFon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0" fillId="0" borderId="3" xfId="0" applyBorder="1"/>
    <xf numFmtId="0" fontId="0" fillId="0" borderId="6" xfId="0" applyBorder="1"/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0" borderId="0" xfId="0" applyAlignment="1">
      <alignment horizontal="left"/>
    </xf>
    <xf numFmtId="164" fontId="0" fillId="0" borderId="31" xfId="0" applyNumberFormat="1" applyBorder="1" applyAlignment="1">
      <alignment horizontal="center"/>
    </xf>
    <xf numFmtId="10" fontId="0" fillId="0" borderId="1" xfId="0" applyNumberFormat="1" applyBorder="1"/>
    <xf numFmtId="165" fontId="0" fillId="0" borderId="1" xfId="0" applyNumberFormat="1" applyBorder="1"/>
    <xf numFmtId="0" fontId="6" fillId="0" borderId="0" xfId="0" applyFont="1" applyAlignment="1">
      <alignment horizontal="right"/>
    </xf>
    <xf numFmtId="0" fontId="9" fillId="5" borderId="32" xfId="2" applyFont="1" applyFill="1" applyBorder="1" applyAlignment="1">
      <alignment horizontal="left"/>
    </xf>
    <xf numFmtId="0" fontId="9" fillId="5" borderId="32" xfId="2" applyFont="1" applyFill="1" applyBorder="1"/>
    <xf numFmtId="0" fontId="9" fillId="4" borderId="32" xfId="2" applyFont="1" applyFill="1" applyBorder="1"/>
    <xf numFmtId="0" fontId="9" fillId="6" borderId="32" xfId="2" applyFont="1" applyFill="1" applyBorder="1"/>
    <xf numFmtId="0" fontId="10" fillId="5" borderId="32" xfId="2" applyFont="1" applyFill="1" applyBorder="1"/>
    <xf numFmtId="0" fontId="9" fillId="5" borderId="34" xfId="2" applyFont="1" applyFill="1" applyBorder="1"/>
    <xf numFmtId="0" fontId="9" fillId="4" borderId="33" xfId="2" applyFont="1" applyFill="1" applyBorder="1"/>
    <xf numFmtId="0" fontId="9" fillId="4" borderId="34" xfId="2" applyFont="1" applyFill="1" applyBorder="1"/>
    <xf numFmtId="0" fontId="9" fillId="6" borderId="33" xfId="2" applyFont="1" applyFill="1" applyBorder="1"/>
    <xf numFmtId="0" fontId="9" fillId="5" borderId="32" xfId="2" applyFont="1" applyFill="1" applyBorder="1" applyAlignment="1">
      <alignment vertical="center"/>
    </xf>
    <xf numFmtId="0" fontId="9" fillId="5" borderId="33" xfId="2" applyFont="1" applyFill="1" applyBorder="1"/>
    <xf numFmtId="0" fontId="8" fillId="0" borderId="1" xfId="2" applyBorder="1"/>
    <xf numFmtId="0" fontId="0" fillId="3" borderId="0" xfId="0" applyFill="1" applyAlignment="1">
      <alignment horizontal="center"/>
    </xf>
    <xf numFmtId="2" fontId="0" fillId="0" borderId="0" xfId="0" applyNumberFormat="1" applyAlignment="1">
      <alignment horizontal="center" vertical="center"/>
    </xf>
    <xf numFmtId="0" fontId="11" fillId="4" borderId="32" xfId="2" applyFont="1" applyFill="1" applyBorder="1"/>
    <xf numFmtId="165" fontId="0" fillId="0" borderId="0" xfId="0" applyNumberFormat="1"/>
    <xf numFmtId="165" fontId="0" fillId="0" borderId="1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 vertical="center" textRotation="90"/>
    </xf>
    <xf numFmtId="0" fontId="0" fillId="2" borderId="6" xfId="0" applyFill="1" applyBorder="1" applyAlignment="1">
      <alignment horizontal="center" vertical="center" textRotation="90"/>
    </xf>
    <xf numFmtId="0" fontId="0" fillId="2" borderId="8" xfId="0" applyFill="1" applyBorder="1" applyAlignment="1">
      <alignment horizontal="center" vertical="center" textRotation="90"/>
    </xf>
    <xf numFmtId="0" fontId="0" fillId="2" borderId="5" xfId="0" applyFill="1" applyBorder="1" applyAlignment="1">
      <alignment horizontal="center" vertical="center" textRotation="90"/>
    </xf>
    <xf numFmtId="0" fontId="0" fillId="2" borderId="7" xfId="0" applyFill="1" applyBorder="1" applyAlignment="1">
      <alignment horizontal="center" vertical="center" textRotation="90"/>
    </xf>
    <xf numFmtId="0" fontId="0" fillId="2" borderId="10" xfId="0" applyFill="1" applyBorder="1" applyAlignment="1">
      <alignment horizontal="center" vertical="center" textRotation="90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164" fontId="0" fillId="0" borderId="11" xfId="0" applyNumberFormat="1" applyBorder="1"/>
    <xf numFmtId="0" fontId="0" fillId="0" borderId="0" xfId="0"/>
    <xf numFmtId="164" fontId="0" fillId="0" borderId="1" xfId="0" applyNumberFormat="1" applyBorder="1"/>
    <xf numFmtId="164" fontId="0" fillId="0" borderId="35" xfId="0" applyNumberFormat="1" applyBorder="1" applyAlignment="1">
      <alignment horizontal="center"/>
    </xf>
    <xf numFmtId="164" fontId="0" fillId="0" borderId="36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2" borderId="18" xfId="0" applyFill="1" applyBorder="1" applyAlignment="1">
      <alignment horizontal="center" vertical="center" textRotation="90"/>
    </xf>
    <xf numFmtId="0" fontId="0" fillId="2" borderId="19" xfId="0" applyFill="1" applyBorder="1" applyAlignment="1">
      <alignment horizontal="center" vertical="center" textRotation="90"/>
    </xf>
    <xf numFmtId="0" fontId="0" fillId="2" borderId="20" xfId="0" applyFill="1" applyBorder="1" applyAlignment="1">
      <alignment horizontal="center" vertical="center" textRotation="90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 textRotation="90" wrapText="1"/>
    </xf>
    <xf numFmtId="0" fontId="0" fillId="2" borderId="13" xfId="0" applyFill="1" applyBorder="1" applyAlignment="1">
      <alignment horizontal="center" vertical="center" textRotation="90" wrapText="1"/>
    </xf>
    <xf numFmtId="0" fontId="0" fillId="2" borderId="14" xfId="0" applyFill="1" applyBorder="1" applyAlignment="1">
      <alignment horizontal="center" vertical="center" textRotation="90" wrapText="1"/>
    </xf>
    <xf numFmtId="0" fontId="0" fillId="2" borderId="15" xfId="0" applyFill="1" applyBorder="1" applyAlignment="1">
      <alignment horizontal="center" vertical="center" textRotation="90" wrapText="1"/>
    </xf>
    <xf numFmtId="0" fontId="0" fillId="2" borderId="16" xfId="0" applyFill="1" applyBorder="1" applyAlignment="1">
      <alignment horizontal="center" vertical="center" textRotation="90" wrapText="1"/>
    </xf>
    <xf numFmtId="0" fontId="0" fillId="2" borderId="17" xfId="0" applyFill="1" applyBorder="1" applyAlignment="1">
      <alignment horizontal="center" vertical="center" textRotation="90" wrapText="1"/>
    </xf>
    <xf numFmtId="165" fontId="0" fillId="2" borderId="18" xfId="0" applyNumberFormat="1" applyFill="1" applyBorder="1" applyAlignment="1">
      <alignment horizontal="center" vertical="center" textRotation="90"/>
    </xf>
    <xf numFmtId="165" fontId="0" fillId="2" borderId="19" xfId="0" applyNumberFormat="1" applyFill="1" applyBorder="1" applyAlignment="1">
      <alignment horizontal="center" vertical="center" textRotation="90"/>
    </xf>
    <xf numFmtId="165" fontId="0" fillId="2" borderId="20" xfId="0" applyNumberFormat="1" applyFill="1" applyBorder="1" applyAlignment="1">
      <alignment horizontal="center" vertical="center" textRotation="90"/>
    </xf>
    <xf numFmtId="0" fontId="0" fillId="2" borderId="21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5" fillId="0" borderId="5" xfId="1" applyFont="1" applyBorder="1" applyAlignment="1">
      <alignment horizontal="center" vertical="center"/>
    </xf>
    <xf numFmtId="0" fontId="5" fillId="0" borderId="8" xfId="1" applyFont="1" applyBorder="1" applyAlignment="1">
      <alignment horizontal="center" vertical="center"/>
    </xf>
    <xf numFmtId="0" fontId="5" fillId="0" borderId="9" xfId="1" applyFont="1" applyBorder="1" applyAlignment="1">
      <alignment horizontal="center" vertical="center"/>
    </xf>
    <xf numFmtId="0" fontId="5" fillId="0" borderId="10" xfId="1" applyFont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14" fontId="0" fillId="0" borderId="7" xfId="0" applyNumberFormat="1" applyBorder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4" fillId="0" borderId="24" xfId="1" applyBorder="1" applyAlignment="1">
      <alignment horizontal="center"/>
    </xf>
    <xf numFmtId="0" fontId="2" fillId="2" borderId="18" xfId="0" applyFont="1" applyFill="1" applyBorder="1" applyAlignment="1">
      <alignment horizontal="center" vertical="center" textRotation="90"/>
    </xf>
    <xf numFmtId="0" fontId="2" fillId="2" borderId="19" xfId="0" applyFont="1" applyFill="1" applyBorder="1" applyAlignment="1">
      <alignment horizontal="center" vertical="center" textRotation="90"/>
    </xf>
    <xf numFmtId="0" fontId="2" fillId="2" borderId="20" xfId="0" applyFont="1" applyFill="1" applyBorder="1" applyAlignment="1">
      <alignment horizontal="center" vertical="center" textRotation="90"/>
    </xf>
    <xf numFmtId="0" fontId="0" fillId="2" borderId="26" xfId="0" applyFill="1" applyBorder="1" applyAlignment="1">
      <alignment horizontal="center" vertical="center" textRotation="90" wrapText="1"/>
    </xf>
    <xf numFmtId="0" fontId="0" fillId="2" borderId="27" xfId="0" applyFill="1" applyBorder="1" applyAlignment="1">
      <alignment horizontal="center" vertical="center" textRotation="90" wrapText="1"/>
    </xf>
    <xf numFmtId="0" fontId="0" fillId="2" borderId="28" xfId="0" applyFill="1" applyBorder="1" applyAlignment="1">
      <alignment horizontal="center" vertical="center" textRotation="90" wrapText="1"/>
    </xf>
    <xf numFmtId="14" fontId="0" fillId="0" borderId="0" xfId="0" applyNumberFormat="1" applyBorder="1" applyAlignment="1">
      <alignment horizontal="center"/>
    </xf>
    <xf numFmtId="165" fontId="0" fillId="0" borderId="0" xfId="0" applyNumberFormat="1" applyBorder="1"/>
    <xf numFmtId="165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/>
    <xf numFmtId="165" fontId="4" fillId="0" borderId="0" xfId="1" applyNumberFormat="1" applyBorder="1"/>
  </cellXfs>
  <cellStyles count="3">
    <cellStyle name="Hipervínculo" xfId="1" builtinId="8"/>
    <cellStyle name="Normal" xfId="0" builtinId="0"/>
    <cellStyle name="Normal 2" xfId="2" xr:uid="{A7134BBC-7C34-49B7-A20B-5B0A3BD5B4EC}"/>
  </cellStyles>
  <dxfs count="11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EAF1DD"/>
          <bgColor rgb="FFEAF1DD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14</xdr:row>
      <xdr:rowOff>133350</xdr:rowOff>
    </xdr:from>
    <xdr:to>
      <xdr:col>7</xdr:col>
      <xdr:colOff>552450</xdr:colOff>
      <xdr:row>21</xdr:row>
      <xdr:rowOff>28575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90500" y="5619750"/>
          <a:ext cx="5648325" cy="847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es-AR" sz="1100" b="1" i="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GENERALIDADES</a:t>
          </a:r>
          <a:endParaRPr lang="es-ES">
            <a:effectLst/>
          </a:endParaRPr>
        </a:p>
        <a:p>
          <a:pPr rtl="0"/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FORMA DE PAGO: 70 % ACOPIO- 30 % SALDOS CONTRA ENTREGAS PARCIALES PREVIA ACREDITACION DE</a:t>
          </a:r>
          <a:r>
            <a:rPr lang="es-E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VALORES. </a:t>
          </a:r>
          <a:r>
            <a:rPr lang="es-AR" sz="1100" b="1" i="0" u="sng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PARA COORDINAR EL RETIRO DE LAS PUERTAS EL VALOR DE LAS MISMAS DEBERA ENCONTRARSE ACREDITADO</a:t>
          </a:r>
          <a:r>
            <a:rPr lang="es-AR" sz="1100" b="1" i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VALIDEZ DE LA OFERTA: 10 DÍAS. TIEMPO DE ENTREGA: 30 DÍAS.</a:t>
          </a:r>
          <a:endParaRPr lang="es-ES" sz="1100"/>
        </a:p>
      </xdr:txBody>
    </xdr:sp>
    <xdr:clientData/>
  </xdr:twoCellAnchor>
  <xdr:twoCellAnchor>
    <xdr:from>
      <xdr:col>7</xdr:col>
      <xdr:colOff>828675</xdr:colOff>
      <xdr:row>14</xdr:row>
      <xdr:rowOff>114301</xdr:rowOff>
    </xdr:from>
    <xdr:to>
      <xdr:col>16</xdr:col>
      <xdr:colOff>809625</xdr:colOff>
      <xdr:row>20</xdr:row>
      <xdr:rowOff>1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115050" y="5600701"/>
          <a:ext cx="8334375" cy="647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NOTA: LAS PUERTAS CORTAFUEGO HAN SIDO ENSAYADAS Y CALIFICADAS EN EL INTI EN UNA  ESTANDARIZACION DE PL 900 X 2000 MM EN PUERTAS DE UNA HOJA Y 1400X2000 EN DOBLE HOJA BAJO LAS NORMAS IRAM 11949/50/51. LAS PUERTAS FUERA DE ESTANDARIZACION SERAN CONSTRUIDAS CON EL MISMO CRITERIO DE FABRICACION. </a:t>
          </a:r>
          <a:endParaRPr lang="es-ES">
            <a:effectLst/>
          </a:endParaRPr>
        </a:p>
        <a:p>
          <a:endParaRPr lang="es-ES" sz="1100"/>
        </a:p>
      </xdr:txBody>
    </xdr:sp>
    <xdr:clientData/>
  </xdr:twoCellAnchor>
  <xdr:oneCellAnchor>
    <xdr:from>
      <xdr:col>0</xdr:col>
      <xdr:colOff>390525</xdr:colOff>
      <xdr:row>0</xdr:row>
      <xdr:rowOff>47625</xdr:rowOff>
    </xdr:from>
    <xdr:ext cx="1811809" cy="971550"/>
    <xdr:pic>
      <xdr:nvPicPr>
        <xdr:cNvPr id="5" name="image11.png">
          <a:extLst>
            <a:ext uri="{FF2B5EF4-FFF2-40B4-BE49-F238E27FC236}">
              <a16:creationId xmlns:a16="http://schemas.microsoft.com/office/drawing/2014/main" id="{AFDBEADF-0480-4903-BEE9-8834D93DDC3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0525" y="47625"/>
          <a:ext cx="1811809" cy="971550"/>
        </a:xfrm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3F002E-C78F-448C-8725-B8CC72EA28DB}" name="Tabla3" displayName="Tabla3" ref="A1:G426" totalsRowShown="0" headerRowDxfId="10" dataDxfId="9">
  <autoFilter ref="A1:G426" xr:uid="{F93F002E-C78F-448C-8725-B8CC72EA28DB}"/>
  <tableColumns count="7">
    <tableColumn id="1" xr3:uid="{3D8C0703-6784-4283-8296-F70F7C0606FB}" name="DESCRIPCION" dataDxfId="8">
      <calculatedColumnFormula>CONCATENATE("PUERTA ",$B2," ",$C2,"X",$D2)</calculatedColumnFormula>
    </tableColumn>
    <tableColumn id="2" xr3:uid="{195D558C-25ED-46A6-9950-1FCB88AB1498}" name="MODELO" dataDxfId="7"/>
    <tableColumn id="3" xr3:uid="{D421B1DD-2C5B-4038-839B-3820C66313A4}" name="ANCHO PL" dataDxfId="6"/>
    <tableColumn id="4" xr3:uid="{5EA7E3A5-E3F0-4119-A5F7-A3F02A18ED9B}" name="ALTO PL" dataDxfId="5"/>
    <tableColumn id="5" xr3:uid="{C5CCC05C-E558-4CA0-AA41-C9785311062A}" name="ANCHO MT" dataDxfId="4">
      <calculatedColumnFormula>SUM($C2,100)</calculatedColumnFormula>
    </tableColumn>
    <tableColumn id="6" xr3:uid="{8D820034-A61A-4745-8981-67EA6A528183}" name="ALTO MT" dataDxfId="3">
      <calculatedColumnFormula>SUM($D2,50)</calculatedColumnFormula>
    </tableColumn>
    <tableColumn id="9" xr3:uid="{697F7820-3E7A-4DAA-84BB-45FDD7EB801B}" name="PRECIO" dataDxfId="2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521F1F-6CEC-494D-897F-50B7AE163C0C}" name="Tabla1" displayName="Tabla1" ref="A1:B48" totalsRowShown="0">
  <autoFilter ref="A1:B48" xr:uid="{6A521F1F-6CEC-494D-897F-50B7AE163C0C}"/>
  <tableColumns count="2">
    <tableColumn id="1" xr3:uid="{F1F8A54B-E347-4DB6-A96F-61F282F7F64E}" name="DESCRIPCION" dataDxfId="1" dataCellStyle="Normal 2"/>
    <tableColumn id="2" xr3:uid="{74E2FC3C-AF53-4A8D-8E3D-5A4270EE18A9}" name="PRECIO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sperezquevedo@iancol.com.ar" TargetMode="External"/><Relationship Id="rId1" Type="http://schemas.openxmlformats.org/officeDocument/2006/relationships/hyperlink" Target="mailto:ventas@mesquita.com.ar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T27"/>
  <sheetViews>
    <sheetView tabSelected="1" zoomScale="85" zoomScaleNormal="85" workbookViewId="0">
      <pane ySplit="12" topLeftCell="A13" activePane="bottomLeft" state="frozen"/>
      <selection pane="bottomLeft" activeCell="F3" sqref="F3:I4"/>
    </sheetView>
  </sheetViews>
  <sheetFormatPr baseColWidth="10" defaultColWidth="9.140625" defaultRowHeight="15" x14ac:dyDescent="0.25"/>
  <cols>
    <col min="1" max="1" width="45.28515625" customWidth="1"/>
    <col min="2" max="3" width="5.7109375" customWidth="1"/>
    <col min="4" max="4" width="29.85546875" customWidth="1"/>
    <col min="5" max="5" width="17.140625" customWidth="1"/>
    <col min="7" max="7" width="10.28515625" customWidth="1"/>
    <col min="8" max="9" width="14.85546875" customWidth="1"/>
    <col min="10" max="10" width="30.7109375" style="37" customWidth="1"/>
    <col min="11" max="11" width="3.5703125" customWidth="1"/>
    <col min="12" max="12" width="16.28515625" customWidth="1"/>
    <col min="13" max="13" width="3.5703125" customWidth="1"/>
    <col min="14" max="14" width="16.28515625" customWidth="1"/>
    <col min="15" max="15" width="3.5703125" customWidth="1"/>
    <col min="16" max="16" width="16.28515625" customWidth="1"/>
    <col min="17" max="17" width="15.85546875" customWidth="1"/>
    <col min="18" max="18" width="23" customWidth="1"/>
    <col min="19" max="19" width="9" customWidth="1"/>
    <col min="20" max="20" width="14" customWidth="1"/>
  </cols>
  <sheetData>
    <row r="1" spans="1:20" ht="15.75" thickBot="1" x14ac:dyDescent="0.3">
      <c r="A1" s="12"/>
      <c r="B1" s="91" t="s">
        <v>91</v>
      </c>
      <c r="C1" s="91"/>
      <c r="D1" s="92"/>
      <c r="F1" s="78" t="s">
        <v>9</v>
      </c>
      <c r="G1" s="79"/>
      <c r="H1" s="78" t="s">
        <v>93</v>
      </c>
      <c r="I1" s="79"/>
      <c r="J1" s="105"/>
      <c r="S1" s="49"/>
      <c r="T1" s="49"/>
    </row>
    <row r="2" spans="1:20" ht="15.75" thickBot="1" x14ac:dyDescent="0.3">
      <c r="A2" s="13"/>
      <c r="B2" s="93"/>
      <c r="C2" s="93"/>
      <c r="D2" s="94"/>
      <c r="F2" s="78" t="s">
        <v>10</v>
      </c>
      <c r="G2" s="79"/>
      <c r="H2" s="104">
        <f ca="1">NOW()</f>
        <v>45139.517012847224</v>
      </c>
      <c r="I2" s="82"/>
      <c r="J2" s="105"/>
      <c r="S2" s="49"/>
      <c r="T2" s="49"/>
    </row>
    <row r="3" spans="1:20" x14ac:dyDescent="0.25">
      <c r="A3" s="13"/>
      <c r="B3" s="93"/>
      <c r="C3" s="93"/>
      <c r="D3" s="94"/>
      <c r="F3" s="83" t="s">
        <v>90</v>
      </c>
      <c r="G3" s="84"/>
      <c r="H3" s="84"/>
      <c r="I3" s="85"/>
      <c r="J3" s="105"/>
      <c r="S3" s="49"/>
      <c r="T3" s="49"/>
    </row>
    <row r="4" spans="1:20" ht="15.75" thickBot="1" x14ac:dyDescent="0.3">
      <c r="A4" s="13"/>
      <c r="B4" s="93"/>
      <c r="C4" s="93"/>
      <c r="D4" s="94"/>
      <c r="F4" s="86"/>
      <c r="G4" s="87"/>
      <c r="H4" s="87"/>
      <c r="I4" s="88"/>
      <c r="J4" s="105"/>
      <c r="S4" s="49"/>
      <c r="T4" s="49"/>
    </row>
    <row r="5" spans="1:20" ht="15.75" thickBot="1" x14ac:dyDescent="0.3">
      <c r="A5" s="13"/>
      <c r="B5" s="93"/>
      <c r="C5" s="93"/>
      <c r="D5" s="94"/>
      <c r="F5" s="78" t="s">
        <v>11</v>
      </c>
      <c r="G5" s="79"/>
      <c r="H5" s="80"/>
      <c r="I5" s="81"/>
      <c r="J5" s="106"/>
      <c r="S5" s="49"/>
      <c r="T5" s="49"/>
    </row>
    <row r="6" spans="1:20" ht="15.75" thickBot="1" x14ac:dyDescent="0.3">
      <c r="A6" s="13"/>
      <c r="B6" s="95"/>
      <c r="C6" s="95"/>
      <c r="D6" s="96"/>
      <c r="F6" s="78" t="s">
        <v>13</v>
      </c>
      <c r="G6" s="79"/>
      <c r="H6" s="78">
        <v>1147736619</v>
      </c>
      <c r="I6" s="79"/>
      <c r="J6" s="107"/>
      <c r="S6" s="49"/>
      <c r="T6" s="49"/>
    </row>
    <row r="7" spans="1:20" ht="15.75" thickBot="1" x14ac:dyDescent="0.3">
      <c r="A7" s="72" t="s">
        <v>25</v>
      </c>
      <c r="B7" s="73"/>
      <c r="C7" s="74"/>
      <c r="D7" s="8" t="s">
        <v>85</v>
      </c>
      <c r="F7" s="89" t="s">
        <v>12</v>
      </c>
      <c r="G7" s="90"/>
      <c r="H7" s="78" t="s">
        <v>92</v>
      </c>
      <c r="I7" s="79"/>
      <c r="J7" s="108"/>
      <c r="S7" s="49"/>
      <c r="T7" s="49"/>
    </row>
    <row r="8" spans="1:20" ht="15.75" thickBot="1" x14ac:dyDescent="0.3">
      <c r="A8" s="75"/>
      <c r="B8" s="76"/>
      <c r="C8" s="77"/>
      <c r="D8" s="8" t="s">
        <v>22</v>
      </c>
      <c r="F8" s="78" t="s">
        <v>26</v>
      </c>
      <c r="G8" s="79"/>
      <c r="H8" s="97" t="s">
        <v>94</v>
      </c>
      <c r="I8" s="79"/>
      <c r="J8" s="109"/>
      <c r="S8" s="49"/>
      <c r="T8" s="49"/>
    </row>
    <row r="9" spans="1:20" ht="15.75" thickBot="1" x14ac:dyDescent="0.3">
      <c r="A9" s="10"/>
      <c r="B9" s="11"/>
      <c r="C9" s="11"/>
      <c r="D9" s="9"/>
      <c r="S9" s="49"/>
      <c r="T9" s="49"/>
    </row>
    <row r="10" spans="1:20" ht="18" customHeight="1" thickBot="1" x14ac:dyDescent="0.3">
      <c r="A10" s="98" t="s">
        <v>0</v>
      </c>
      <c r="B10" s="54" t="s">
        <v>2</v>
      </c>
      <c r="C10" s="54" t="s">
        <v>3</v>
      </c>
      <c r="D10" s="57" t="s">
        <v>1</v>
      </c>
      <c r="E10" s="54" t="s">
        <v>87</v>
      </c>
      <c r="F10" s="69" t="s">
        <v>8</v>
      </c>
      <c r="G10" s="71"/>
      <c r="H10" s="71"/>
      <c r="I10" s="70"/>
      <c r="J10" s="66" t="s">
        <v>14</v>
      </c>
      <c r="K10" s="60" t="s">
        <v>89</v>
      </c>
      <c r="L10" s="61"/>
      <c r="M10" s="60" t="s">
        <v>31</v>
      </c>
      <c r="N10" s="61"/>
      <c r="O10" s="60" t="s">
        <v>63</v>
      </c>
      <c r="P10" s="61"/>
      <c r="Q10" s="101" t="s">
        <v>28</v>
      </c>
      <c r="R10" s="40" t="s">
        <v>20</v>
      </c>
      <c r="S10" s="40" t="s">
        <v>21</v>
      </c>
      <c r="T10" s="43"/>
    </row>
    <row r="11" spans="1:20" ht="18" customHeight="1" thickBot="1" x14ac:dyDescent="0.3">
      <c r="A11" s="99"/>
      <c r="B11" s="55"/>
      <c r="C11" s="55"/>
      <c r="D11" s="58"/>
      <c r="E11" s="55"/>
      <c r="F11" s="69" t="s">
        <v>6</v>
      </c>
      <c r="G11" s="70"/>
      <c r="H11" s="69" t="s">
        <v>7</v>
      </c>
      <c r="I11" s="70"/>
      <c r="J11" s="67"/>
      <c r="K11" s="62"/>
      <c r="L11" s="63"/>
      <c r="M11" s="62"/>
      <c r="N11" s="63"/>
      <c r="O11" s="62"/>
      <c r="P11" s="63"/>
      <c r="Q11" s="102"/>
      <c r="R11" s="41"/>
      <c r="S11" s="41"/>
      <c r="T11" s="44"/>
    </row>
    <row r="12" spans="1:20" ht="144.75" customHeight="1" thickBot="1" x14ac:dyDescent="0.3">
      <c r="A12" s="100"/>
      <c r="B12" s="56"/>
      <c r="C12" s="56"/>
      <c r="D12" s="59"/>
      <c r="E12" s="56"/>
      <c r="F12" s="7" t="s">
        <v>4</v>
      </c>
      <c r="G12" s="7" t="s">
        <v>5</v>
      </c>
      <c r="H12" s="7" t="s">
        <v>4</v>
      </c>
      <c r="I12" s="7" t="s">
        <v>5</v>
      </c>
      <c r="J12" s="68"/>
      <c r="K12" s="64"/>
      <c r="L12" s="65"/>
      <c r="M12" s="64"/>
      <c r="N12" s="65"/>
      <c r="O12" s="64"/>
      <c r="P12" s="65"/>
      <c r="Q12" s="103"/>
      <c r="R12" s="42"/>
      <c r="S12" s="42"/>
      <c r="T12" s="45"/>
    </row>
    <row r="13" spans="1:20" ht="15.75" thickBot="1" x14ac:dyDescent="0.3">
      <c r="A13" s="3" t="s">
        <v>86</v>
      </c>
      <c r="B13" s="46">
        <v>1</v>
      </c>
      <c r="C13" s="47"/>
      <c r="D13" s="4" t="s">
        <v>95</v>
      </c>
      <c r="E13" s="3" t="s">
        <v>88</v>
      </c>
      <c r="F13" s="3">
        <f>VLOOKUP($D13,Tabla3[#All],3,FALSE)</f>
        <v>1000</v>
      </c>
      <c r="G13" s="3">
        <f>VLOOKUP($D13,Tabla3[#All],4,FALSE)</f>
        <v>2000</v>
      </c>
      <c r="H13" s="3">
        <f>VLOOKUP($D13,Tabla3[#All],5,FALSE)</f>
        <v>1100</v>
      </c>
      <c r="I13" s="3">
        <f>VLOOKUP($D13,Tabla3[#All],6,FALSE)</f>
        <v>2050</v>
      </c>
      <c r="J13" s="38">
        <f>VLOOKUP($D13,Tabla3[#All],7,FALSE)</f>
        <v>212290</v>
      </c>
      <c r="K13" s="5">
        <v>1</v>
      </c>
      <c r="L13" s="6">
        <f>IF(NOT(ISBLANK(K13)),PRODUCT(K13,VLOOKUP(K$10,Tabla1[#All],2,FALSE)), "-")</f>
        <v>17020</v>
      </c>
      <c r="M13" s="5"/>
      <c r="N13" s="6" t="str">
        <f>IF(NOT(ISBLANK(M13)),PRODUCT(M13,VLOOKUP(M$10,Tabla1[#All],2,FALSE)), "-")</f>
        <v>-</v>
      </c>
      <c r="O13" s="5">
        <v>1</v>
      </c>
      <c r="P13" s="6">
        <f>IF(NOT(ISBLANK(O13)),PRODUCT(O13,VLOOKUP(O$10,Tabla1[#All],2,FALSE)), "-")</f>
        <v>12680</v>
      </c>
      <c r="Q13" s="6" t="s">
        <v>27</v>
      </c>
      <c r="R13" s="18">
        <f t="shared" ref="R13" si="0">SUMIFS(puertasItemsName,puertasItemsName,"&gt;150")</f>
        <v>241990</v>
      </c>
      <c r="S13" s="48">
        <f t="shared" ref="S13" si="1">PRODUCT(SUM(B13:C13),R13)</f>
        <v>241990</v>
      </c>
      <c r="T13" s="48"/>
    </row>
    <row r="14" spans="1:20" x14ac:dyDescent="0.25">
      <c r="A14" s="1"/>
      <c r="B14" s="1"/>
      <c r="C14" s="1"/>
      <c r="D14" s="34"/>
      <c r="E14" s="1"/>
      <c r="F14" s="1"/>
      <c r="G14" s="1"/>
      <c r="H14" s="1"/>
      <c r="I14" s="1"/>
      <c r="J14" s="39"/>
      <c r="L14" s="35"/>
      <c r="N14" s="35"/>
      <c r="P14" s="35"/>
      <c r="Q14" s="35"/>
      <c r="R14" s="18" t="s">
        <v>84</v>
      </c>
      <c r="S14" s="51">
        <v>25000</v>
      </c>
      <c r="T14" s="52"/>
    </row>
    <row r="15" spans="1:20" x14ac:dyDescent="0.25">
      <c r="D15" s="1"/>
      <c r="R15" s="2" t="s">
        <v>34</v>
      </c>
      <c r="S15" s="50">
        <f>SUM(subtotalRangeName, fleteName)</f>
        <v>266990</v>
      </c>
      <c r="T15" s="50"/>
    </row>
    <row r="16" spans="1:20" hidden="1" x14ac:dyDescent="0.25">
      <c r="D16" s="1"/>
      <c r="R16" s="2" t="s">
        <v>33</v>
      </c>
      <c r="S16" s="19">
        <v>0</v>
      </c>
      <c r="T16" s="20">
        <f>PRODUCT(porcentajeDescuentoName,subtotalParcialName)</f>
        <v>0</v>
      </c>
    </row>
    <row r="17" spans="4:20" hidden="1" x14ac:dyDescent="0.25">
      <c r="D17" s="1"/>
      <c r="R17" s="2" t="s">
        <v>35</v>
      </c>
      <c r="S17" s="53">
        <f>SUM(subtotalParcialName, -descuentoTotalName)</f>
        <v>266990</v>
      </c>
      <c r="T17" s="53"/>
    </row>
    <row r="18" spans="4:20" x14ac:dyDescent="0.25">
      <c r="D18" s="1"/>
      <c r="R18" s="2" t="s">
        <v>23</v>
      </c>
      <c r="S18" s="50">
        <f>IF(descuentoTotalName &gt; 0, PRODUCT(subtotalConDescuentoName, 0.21), PRODUCT(subtotalParcialName, 0.21))</f>
        <v>56067.9</v>
      </c>
      <c r="T18" s="50"/>
    </row>
    <row r="19" spans="4:20" x14ac:dyDescent="0.25">
      <c r="D19" s="1"/>
      <c r="R19" s="2" t="s">
        <v>24</v>
      </c>
      <c r="S19" s="50">
        <f>SUM(subtotalConDescuentoName, I.V.A)</f>
        <v>323057.90000000002</v>
      </c>
      <c r="T19" s="50"/>
    </row>
    <row r="20" spans="4:20" x14ac:dyDescent="0.25">
      <c r="D20" s="1"/>
      <c r="S20" s="49"/>
      <c r="T20" s="49"/>
    </row>
    <row r="21" spans="4:20" x14ac:dyDescent="0.25">
      <c r="D21" s="1"/>
      <c r="S21" s="49"/>
      <c r="T21" s="49"/>
    </row>
    <row r="22" spans="4:20" x14ac:dyDescent="0.25">
      <c r="D22" s="1"/>
      <c r="S22" s="49"/>
      <c r="T22" s="49"/>
    </row>
    <row r="23" spans="4:20" x14ac:dyDescent="0.25">
      <c r="D23" s="1"/>
      <c r="S23" s="49"/>
      <c r="T23" s="49"/>
    </row>
    <row r="24" spans="4:20" x14ac:dyDescent="0.25">
      <c r="D24" s="1"/>
      <c r="S24" s="49"/>
      <c r="T24" s="49"/>
    </row>
    <row r="25" spans="4:20" x14ac:dyDescent="0.25">
      <c r="D25" s="1"/>
      <c r="S25" s="49"/>
      <c r="T25" s="49"/>
    </row>
    <row r="26" spans="4:20" x14ac:dyDescent="0.25">
      <c r="D26" s="1"/>
      <c r="S26" s="49"/>
      <c r="T26" s="49"/>
    </row>
    <row r="27" spans="4:20" x14ac:dyDescent="0.25">
      <c r="D27" s="1"/>
      <c r="S27" s="49"/>
      <c r="T27" s="49"/>
    </row>
  </sheetData>
  <mergeCells count="54">
    <mergeCell ref="A10:A12"/>
    <mergeCell ref="Q10:Q12"/>
    <mergeCell ref="H7:I7"/>
    <mergeCell ref="A7:C8"/>
    <mergeCell ref="F1:G1"/>
    <mergeCell ref="H5:I5"/>
    <mergeCell ref="H2:I2"/>
    <mergeCell ref="H1:I1"/>
    <mergeCell ref="F3:I4"/>
    <mergeCell ref="F6:G6"/>
    <mergeCell ref="H6:I6"/>
    <mergeCell ref="F7:G7"/>
    <mergeCell ref="F5:G5"/>
    <mergeCell ref="F2:G2"/>
    <mergeCell ref="B1:D6"/>
    <mergeCell ref="F8:G8"/>
    <mergeCell ref="H8:I8"/>
    <mergeCell ref="B10:B12"/>
    <mergeCell ref="C10:C12"/>
    <mergeCell ref="D10:D12"/>
    <mergeCell ref="E10:E12"/>
    <mergeCell ref="O10:P12"/>
    <mergeCell ref="K10:L12"/>
    <mergeCell ref="J10:J12"/>
    <mergeCell ref="F11:G11"/>
    <mergeCell ref="H11:I11"/>
    <mergeCell ref="F10:I10"/>
    <mergeCell ref="M10:N12"/>
    <mergeCell ref="S17:T17"/>
    <mergeCell ref="S6:T6"/>
    <mergeCell ref="S7:T7"/>
    <mergeCell ref="S8:T8"/>
    <mergeCell ref="S9:T9"/>
    <mergeCell ref="S1:T1"/>
    <mergeCell ref="S2:T2"/>
    <mergeCell ref="S3:T3"/>
    <mergeCell ref="S4:T4"/>
    <mergeCell ref="S5:T5"/>
    <mergeCell ref="R10:R12"/>
    <mergeCell ref="S10:T12"/>
    <mergeCell ref="B13:C13"/>
    <mergeCell ref="S13:T13"/>
    <mergeCell ref="S27:T27"/>
    <mergeCell ref="S21:T21"/>
    <mergeCell ref="S22:T22"/>
    <mergeCell ref="S23:T23"/>
    <mergeCell ref="S24:T24"/>
    <mergeCell ref="S25:T25"/>
    <mergeCell ref="S26:T26"/>
    <mergeCell ref="S15:T15"/>
    <mergeCell ref="S14:T14"/>
    <mergeCell ref="S18:T18"/>
    <mergeCell ref="S19:T19"/>
    <mergeCell ref="S20:T20"/>
  </mergeCells>
  <dataValidations count="2">
    <dataValidation type="list" allowBlank="1" showInputMessage="1" showErrorMessage="1" sqref="K10:P12" xr:uid="{00000000-0002-0000-0000-000001000000}">
      <formula1>ACCESORIOS</formula1>
    </dataValidation>
    <dataValidation type="list" allowBlank="1" showInputMessage="1" showErrorMessage="1" sqref="D13:D14" xr:uid="{00000000-0002-0000-0000-000000000000}">
      <formula1>PUERTAS</formula1>
    </dataValidation>
  </dataValidations>
  <hyperlinks>
    <hyperlink ref="A7" r:id="rId1" xr:uid="{00000000-0004-0000-0000-000000000000}"/>
    <hyperlink ref="H8" r:id="rId2" xr:uid="{00000000-0004-0000-0000-000001000000}"/>
  </hyperlinks>
  <printOptions horizontalCentered="1"/>
  <pageMargins left="0.25" right="0.25" top="0.75" bottom="0.75" header="0.3" footer="0.3"/>
  <pageSetup paperSize="9" scale="46" fitToHeight="0" orientation="landscape" r:id="rId3"/>
  <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'Precios Puertas'!$A$89:$A$269</xm:f>
          </x14:formula1>
          <xm:sqref>D15:D27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G426"/>
  <sheetViews>
    <sheetView topLeftCell="A409" workbookViewId="0">
      <selection activeCell="A427" sqref="A427:XFD439"/>
    </sheetView>
  </sheetViews>
  <sheetFormatPr baseColWidth="10" defaultColWidth="9.140625" defaultRowHeight="15" x14ac:dyDescent="0.25"/>
  <cols>
    <col min="1" max="1" width="31.7109375" style="17" customWidth="1"/>
    <col min="2" max="2" width="17.7109375" style="17" customWidth="1"/>
    <col min="3" max="3" width="12.140625" customWidth="1"/>
    <col min="4" max="4" width="10.140625" customWidth="1"/>
    <col min="5" max="5" width="13" customWidth="1"/>
    <col min="6" max="6" width="11" customWidth="1"/>
    <col min="7" max="7" width="20.28515625" customWidth="1"/>
  </cols>
  <sheetData>
    <row r="1" spans="1:7" x14ac:dyDescent="0.25">
      <c r="A1" s="16" t="s">
        <v>19</v>
      </c>
      <c r="B1" s="16" t="s">
        <v>37</v>
      </c>
      <c r="C1" s="14" t="s">
        <v>18</v>
      </c>
      <c r="D1" s="14" t="s">
        <v>17</v>
      </c>
      <c r="E1" s="14" t="s">
        <v>16</v>
      </c>
      <c r="F1" s="14" t="s">
        <v>15</v>
      </c>
      <c r="G1" s="14" t="s">
        <v>14</v>
      </c>
    </row>
    <row r="2" spans="1:7" x14ac:dyDescent="0.25">
      <c r="A2" s="16" t="str">
        <f>CONCATENATE("PUERTA ",$B2," ",$C2,"X",$D2)</f>
        <v>PUERTA CH18 600X2000</v>
      </c>
      <c r="B2" s="16" t="s">
        <v>40</v>
      </c>
      <c r="C2" s="21">
        <v>600</v>
      </c>
      <c r="D2" s="21">
        <v>2000</v>
      </c>
      <c r="E2" s="21">
        <v>800</v>
      </c>
      <c r="F2" s="21">
        <v>2050</v>
      </c>
      <c r="G2" s="15">
        <v>187280</v>
      </c>
    </row>
    <row r="3" spans="1:7" x14ac:dyDescent="0.25">
      <c r="A3" s="16" t="str">
        <f>CONCATENATE("PUERTA ",$B3," ",$C3,"X",$D3)</f>
        <v>PUERTA CH18 700X2000</v>
      </c>
      <c r="B3" s="16" t="s">
        <v>40</v>
      </c>
      <c r="C3" s="15">
        <v>700</v>
      </c>
      <c r="D3" s="15">
        <v>2000</v>
      </c>
      <c r="E3" s="15">
        <f t="shared" ref="E3:E15" si="0">SUM($C3,100)</f>
        <v>800</v>
      </c>
      <c r="F3" s="15">
        <f t="shared" ref="F3:F15" si="1">SUM($D3,50)</f>
        <v>2050</v>
      </c>
      <c r="G3" s="15">
        <v>187280</v>
      </c>
    </row>
    <row r="4" spans="1:7" x14ac:dyDescent="0.25">
      <c r="A4" s="16" t="str">
        <f t="shared" ref="A4:A18" si="2">CONCATENATE("PUERTA ",$B4," ",$C4,"X",$D4)</f>
        <v>PUERTA CH18 800X2000</v>
      </c>
      <c r="B4" s="16" t="s">
        <v>40</v>
      </c>
      <c r="C4" s="15">
        <v>800</v>
      </c>
      <c r="D4" s="15">
        <v>2000</v>
      </c>
      <c r="E4" s="15">
        <f t="shared" si="0"/>
        <v>900</v>
      </c>
      <c r="F4" s="15">
        <f t="shared" si="1"/>
        <v>2050</v>
      </c>
      <c r="G4" s="15">
        <v>187280</v>
      </c>
    </row>
    <row r="5" spans="1:7" x14ac:dyDescent="0.25">
      <c r="A5" s="16" t="str">
        <f t="shared" si="2"/>
        <v>PUERTA CH18 900X2000</v>
      </c>
      <c r="B5" s="16" t="s">
        <v>40</v>
      </c>
      <c r="C5" s="15">
        <v>900</v>
      </c>
      <c r="D5" s="15">
        <v>2000</v>
      </c>
      <c r="E5" s="15">
        <f t="shared" si="0"/>
        <v>1000</v>
      </c>
      <c r="F5" s="15">
        <f t="shared" si="1"/>
        <v>2050</v>
      </c>
      <c r="G5" s="15">
        <v>198990</v>
      </c>
    </row>
    <row r="6" spans="1:7" x14ac:dyDescent="0.25">
      <c r="A6" s="16" t="str">
        <f t="shared" si="2"/>
        <v>PUERTA CH18 1000X2000</v>
      </c>
      <c r="B6" s="16" t="s">
        <v>40</v>
      </c>
      <c r="C6" s="15">
        <v>1000</v>
      </c>
      <c r="D6" s="15">
        <v>2000</v>
      </c>
      <c r="E6" s="15">
        <f t="shared" si="0"/>
        <v>1100</v>
      </c>
      <c r="F6" s="15">
        <f t="shared" si="1"/>
        <v>2050</v>
      </c>
      <c r="G6" s="15">
        <v>212290</v>
      </c>
    </row>
    <row r="7" spans="1:7" x14ac:dyDescent="0.25">
      <c r="A7" s="16" t="str">
        <f t="shared" si="2"/>
        <v>PUERTA CH18 1100X2000</v>
      </c>
      <c r="B7" s="16" t="s">
        <v>40</v>
      </c>
      <c r="C7" s="15">
        <v>1100</v>
      </c>
      <c r="D7" s="15">
        <v>2000</v>
      </c>
      <c r="E7" s="15">
        <f t="shared" si="0"/>
        <v>1200</v>
      </c>
      <c r="F7" s="15">
        <f t="shared" si="1"/>
        <v>2050</v>
      </c>
      <c r="G7" s="15">
        <v>227070</v>
      </c>
    </row>
    <row r="8" spans="1:7" x14ac:dyDescent="0.25">
      <c r="A8" s="16" t="str">
        <f t="shared" si="2"/>
        <v>PUERTA CH18 1200X2000</v>
      </c>
      <c r="B8" s="16" t="s">
        <v>40</v>
      </c>
      <c r="C8" s="15">
        <v>1200</v>
      </c>
      <c r="D8" s="15">
        <v>2000</v>
      </c>
      <c r="E8" s="15">
        <f t="shared" si="0"/>
        <v>1300</v>
      </c>
      <c r="F8" s="15">
        <f t="shared" si="1"/>
        <v>2050</v>
      </c>
      <c r="G8" s="15">
        <v>270210</v>
      </c>
    </row>
    <row r="9" spans="1:7" x14ac:dyDescent="0.25">
      <c r="A9" s="16" t="str">
        <f t="shared" si="2"/>
        <v>PUERTA CH18 1300X2000</v>
      </c>
      <c r="B9" s="16" t="s">
        <v>40</v>
      </c>
      <c r="C9" s="15">
        <v>1300</v>
      </c>
      <c r="D9" s="15">
        <v>2000</v>
      </c>
      <c r="E9" s="15">
        <f t="shared" si="0"/>
        <v>1400</v>
      </c>
      <c r="F9" s="15">
        <f t="shared" si="1"/>
        <v>2050</v>
      </c>
      <c r="G9" s="15">
        <v>286820</v>
      </c>
    </row>
    <row r="10" spans="1:7" x14ac:dyDescent="0.25">
      <c r="A10" s="16" t="str">
        <f t="shared" si="2"/>
        <v>PUERTA CH18 1400X2000</v>
      </c>
      <c r="B10" s="16" t="s">
        <v>40</v>
      </c>
      <c r="C10" s="15">
        <v>1400</v>
      </c>
      <c r="D10" s="15">
        <v>2000</v>
      </c>
      <c r="E10" s="15">
        <f t="shared" si="0"/>
        <v>1500</v>
      </c>
      <c r="F10" s="15">
        <f t="shared" si="1"/>
        <v>2050</v>
      </c>
      <c r="G10" s="15">
        <v>300660</v>
      </c>
    </row>
    <row r="11" spans="1:7" x14ac:dyDescent="0.25">
      <c r="A11" s="16" t="str">
        <f t="shared" si="2"/>
        <v>PUERTA CH18 1500X2000</v>
      </c>
      <c r="B11" s="16" t="s">
        <v>40</v>
      </c>
      <c r="C11" s="15">
        <v>1500</v>
      </c>
      <c r="D11" s="15">
        <v>2000</v>
      </c>
      <c r="E11" s="15">
        <f t="shared" si="0"/>
        <v>1600</v>
      </c>
      <c r="F11" s="15">
        <f t="shared" si="1"/>
        <v>2050</v>
      </c>
      <c r="G11" s="15">
        <v>316160</v>
      </c>
    </row>
    <row r="12" spans="1:7" x14ac:dyDescent="0.25">
      <c r="A12" s="16" t="str">
        <f t="shared" si="2"/>
        <v>PUERTA CH18 1600X2000</v>
      </c>
      <c r="B12" s="16" t="s">
        <v>40</v>
      </c>
      <c r="C12" s="15">
        <v>1600</v>
      </c>
      <c r="D12" s="15">
        <v>2000</v>
      </c>
      <c r="E12" s="15">
        <f t="shared" si="0"/>
        <v>1700</v>
      </c>
      <c r="F12" s="15">
        <f t="shared" si="1"/>
        <v>2050</v>
      </c>
      <c r="G12" s="15">
        <v>341070</v>
      </c>
    </row>
    <row r="13" spans="1:7" x14ac:dyDescent="0.25">
      <c r="A13" s="16" t="str">
        <f t="shared" si="2"/>
        <v>PUERTA CH18 1700X2000</v>
      </c>
      <c r="B13" s="16" t="s">
        <v>40</v>
      </c>
      <c r="C13" s="15">
        <v>1700</v>
      </c>
      <c r="D13" s="15">
        <v>2000</v>
      </c>
      <c r="E13" s="15">
        <f t="shared" si="0"/>
        <v>1800</v>
      </c>
      <c r="F13" s="15">
        <f t="shared" si="1"/>
        <v>2050</v>
      </c>
      <c r="G13" s="15">
        <v>361560</v>
      </c>
    </row>
    <row r="14" spans="1:7" x14ac:dyDescent="0.25">
      <c r="A14" s="16" t="str">
        <f t="shared" si="2"/>
        <v>PUERTA CH18 1800X2000</v>
      </c>
      <c r="B14" s="16" t="s">
        <v>40</v>
      </c>
      <c r="C14" s="15">
        <v>1800</v>
      </c>
      <c r="D14" s="15">
        <v>2000</v>
      </c>
      <c r="E14" s="15">
        <f t="shared" si="0"/>
        <v>1900</v>
      </c>
      <c r="F14" s="15">
        <f t="shared" si="1"/>
        <v>2050</v>
      </c>
      <c r="G14" s="15">
        <v>383280</v>
      </c>
    </row>
    <row r="15" spans="1:7" x14ac:dyDescent="0.25">
      <c r="A15" s="16" t="str">
        <f t="shared" si="2"/>
        <v>PUERTA CH18 1900X2000</v>
      </c>
      <c r="B15" s="16" t="s">
        <v>40</v>
      </c>
      <c r="C15" s="15">
        <v>1900</v>
      </c>
      <c r="D15" s="15">
        <v>2000</v>
      </c>
      <c r="E15" s="15">
        <f t="shared" si="0"/>
        <v>2000</v>
      </c>
      <c r="F15" s="15">
        <f t="shared" si="1"/>
        <v>2050</v>
      </c>
      <c r="G15" s="15">
        <v>406200</v>
      </c>
    </row>
    <row r="16" spans="1:7" x14ac:dyDescent="0.25">
      <c r="A16" s="16" t="str">
        <f t="shared" si="2"/>
        <v>PUERTA CH18 2000X2000</v>
      </c>
      <c r="B16" s="16" t="s">
        <v>40</v>
      </c>
      <c r="C16" s="15">
        <v>2000</v>
      </c>
      <c r="D16" s="15">
        <v>2000</v>
      </c>
      <c r="E16" s="15">
        <f>SUM($C16,100)</f>
        <v>2100</v>
      </c>
      <c r="F16" s="15">
        <f>SUM($D16,50)</f>
        <v>2050</v>
      </c>
      <c r="G16" s="15">
        <v>430610</v>
      </c>
    </row>
    <row r="17" spans="1:7" x14ac:dyDescent="0.25">
      <c r="A17" s="16" t="str">
        <f t="shared" si="2"/>
        <v>PUERTA CH18 2100X2000</v>
      </c>
      <c r="B17" s="16" t="s">
        <v>40</v>
      </c>
      <c r="C17" s="15">
        <v>2100</v>
      </c>
      <c r="D17" s="15">
        <v>2000</v>
      </c>
      <c r="E17" s="15">
        <f>SUM($C17,100)</f>
        <v>2200</v>
      </c>
      <c r="F17" s="15">
        <f>SUM($D17,50)</f>
        <v>2050</v>
      </c>
      <c r="G17" s="15">
        <v>456400</v>
      </c>
    </row>
    <row r="18" spans="1:7" x14ac:dyDescent="0.25">
      <c r="A18" s="16" t="str">
        <f t="shared" si="2"/>
        <v>PUERTA CH18 2200X2000</v>
      </c>
      <c r="B18" s="16" t="s">
        <v>40</v>
      </c>
      <c r="C18" s="15">
        <v>2200</v>
      </c>
      <c r="D18" s="15">
        <v>2000</v>
      </c>
      <c r="E18" s="15">
        <f>SUM($C18,100)</f>
        <v>2300</v>
      </c>
      <c r="F18" s="15">
        <f t="shared" ref="F18" si="3">SUM($D18,50)</f>
        <v>2050</v>
      </c>
      <c r="G18" s="15">
        <v>479270</v>
      </c>
    </row>
    <row r="19" spans="1:7" x14ac:dyDescent="0.25">
      <c r="A19" s="16" t="str">
        <f>CONCATENATE("PUERTA ",$B19," ",$C19,"X",$D19)</f>
        <v>PUERTA CH18 600X2100</v>
      </c>
      <c r="B19" s="16" t="s">
        <v>40</v>
      </c>
      <c r="C19" s="21">
        <v>600</v>
      </c>
      <c r="D19" s="21">
        <v>2100</v>
      </c>
      <c r="E19" s="21">
        <v>800</v>
      </c>
      <c r="F19" s="21">
        <v>2050</v>
      </c>
      <c r="G19" s="15">
        <v>211720</v>
      </c>
    </row>
    <row r="20" spans="1:7" x14ac:dyDescent="0.25">
      <c r="A20" s="16" t="str">
        <f>CONCATENATE("PUERTA ",$B20," ",$C20,"X",$D20)</f>
        <v>PUERTA CH18 700X2100</v>
      </c>
      <c r="B20" s="16" t="s">
        <v>40</v>
      </c>
      <c r="C20" s="15">
        <v>700</v>
      </c>
      <c r="D20" s="21">
        <v>2100</v>
      </c>
      <c r="E20" s="15">
        <f t="shared" ref="E20:E32" si="4">SUM($C20,100)</f>
        <v>800</v>
      </c>
      <c r="F20" s="15">
        <f t="shared" ref="F20:F32" si="5">SUM($D20,50)</f>
        <v>2150</v>
      </c>
      <c r="G20" s="15">
        <v>211720</v>
      </c>
    </row>
    <row r="21" spans="1:7" x14ac:dyDescent="0.25">
      <c r="A21" s="16" t="str">
        <f t="shared" ref="A21:A35" si="6">CONCATENATE("PUERTA ",$B21," ",$C21,"X",$D21)</f>
        <v>PUERTA CH18 800X2100</v>
      </c>
      <c r="B21" s="16" t="s">
        <v>40</v>
      </c>
      <c r="C21" s="15">
        <v>800</v>
      </c>
      <c r="D21" s="21">
        <v>2100</v>
      </c>
      <c r="E21" s="15">
        <f t="shared" si="4"/>
        <v>900</v>
      </c>
      <c r="F21" s="15">
        <f t="shared" si="5"/>
        <v>2150</v>
      </c>
      <c r="G21" s="15">
        <v>211720</v>
      </c>
    </row>
    <row r="22" spans="1:7" x14ac:dyDescent="0.25">
      <c r="A22" s="16" t="str">
        <f t="shared" si="6"/>
        <v>PUERTA CH18 900X2100</v>
      </c>
      <c r="B22" s="16" t="s">
        <v>40</v>
      </c>
      <c r="C22" s="15">
        <v>900</v>
      </c>
      <c r="D22" s="21">
        <v>2100</v>
      </c>
      <c r="E22" s="15">
        <f t="shared" si="4"/>
        <v>1000</v>
      </c>
      <c r="F22" s="15">
        <f t="shared" si="5"/>
        <v>2150</v>
      </c>
      <c r="G22" s="15">
        <v>224980</v>
      </c>
    </row>
    <row r="23" spans="1:7" x14ac:dyDescent="0.25">
      <c r="A23" s="16" t="str">
        <f t="shared" si="6"/>
        <v>PUERTA CH18 1000X2100</v>
      </c>
      <c r="B23" s="16" t="s">
        <v>40</v>
      </c>
      <c r="C23" s="15">
        <v>1000</v>
      </c>
      <c r="D23" s="21">
        <v>2100</v>
      </c>
      <c r="E23" s="15">
        <f t="shared" si="4"/>
        <v>1100</v>
      </c>
      <c r="F23" s="15">
        <f t="shared" si="5"/>
        <v>2150</v>
      </c>
      <c r="G23" s="15">
        <v>240070</v>
      </c>
    </row>
    <row r="24" spans="1:7" x14ac:dyDescent="0.25">
      <c r="A24" s="16" t="str">
        <f t="shared" si="6"/>
        <v>PUERTA CH18 1100X2100</v>
      </c>
      <c r="B24" s="16" t="s">
        <v>40</v>
      </c>
      <c r="C24" s="15">
        <v>1100</v>
      </c>
      <c r="D24" s="21">
        <v>2100</v>
      </c>
      <c r="E24" s="15">
        <f t="shared" si="4"/>
        <v>1200</v>
      </c>
      <c r="F24" s="15">
        <f t="shared" si="5"/>
        <v>2150</v>
      </c>
      <c r="G24" s="15">
        <v>256840</v>
      </c>
    </row>
    <row r="25" spans="1:7" x14ac:dyDescent="0.25">
      <c r="A25" s="16" t="str">
        <f t="shared" si="6"/>
        <v>PUERTA CH18 1200X2100</v>
      </c>
      <c r="B25" s="16" t="s">
        <v>40</v>
      </c>
      <c r="C25" s="15">
        <v>1200</v>
      </c>
      <c r="D25" s="21">
        <v>2100</v>
      </c>
      <c r="E25" s="15">
        <f t="shared" si="4"/>
        <v>1300</v>
      </c>
      <c r="F25" s="15">
        <f t="shared" si="5"/>
        <v>2150</v>
      </c>
      <c r="G25" s="15">
        <v>297230</v>
      </c>
    </row>
    <row r="26" spans="1:7" x14ac:dyDescent="0.25">
      <c r="A26" s="16" t="str">
        <f t="shared" si="6"/>
        <v>PUERTA CH18 1300X2100</v>
      </c>
      <c r="B26" s="16" t="s">
        <v>40</v>
      </c>
      <c r="C26" s="15">
        <v>1300</v>
      </c>
      <c r="D26" s="21">
        <v>2100</v>
      </c>
      <c r="E26" s="15">
        <f t="shared" si="4"/>
        <v>1400</v>
      </c>
      <c r="F26" s="15">
        <f t="shared" si="5"/>
        <v>2150</v>
      </c>
      <c r="G26" s="15">
        <v>315500</v>
      </c>
    </row>
    <row r="27" spans="1:7" x14ac:dyDescent="0.25">
      <c r="A27" s="16" t="str">
        <f t="shared" si="6"/>
        <v>PUERTA CH18 1400X2100</v>
      </c>
      <c r="B27" s="16" t="s">
        <v>40</v>
      </c>
      <c r="C27" s="15">
        <v>1400</v>
      </c>
      <c r="D27" s="21">
        <v>2100</v>
      </c>
      <c r="E27" s="15">
        <f t="shared" si="4"/>
        <v>1500</v>
      </c>
      <c r="F27" s="15">
        <f t="shared" si="5"/>
        <v>2150</v>
      </c>
      <c r="G27" s="15">
        <v>330760</v>
      </c>
    </row>
    <row r="28" spans="1:7" x14ac:dyDescent="0.25">
      <c r="A28" s="16" t="str">
        <f t="shared" si="6"/>
        <v>PUERTA CH18 1500X2100</v>
      </c>
      <c r="B28" s="16" t="s">
        <v>40</v>
      </c>
      <c r="C28" s="15">
        <v>1500</v>
      </c>
      <c r="D28" s="21">
        <v>2100</v>
      </c>
      <c r="E28" s="15">
        <f t="shared" si="4"/>
        <v>1600</v>
      </c>
      <c r="F28" s="15">
        <f t="shared" si="5"/>
        <v>2150</v>
      </c>
      <c r="G28" s="15">
        <v>347760</v>
      </c>
    </row>
    <row r="29" spans="1:7" x14ac:dyDescent="0.25">
      <c r="A29" s="16" t="str">
        <f t="shared" si="6"/>
        <v>PUERTA CH18 1600X2100</v>
      </c>
      <c r="B29" s="16" t="s">
        <v>40</v>
      </c>
      <c r="C29" s="15">
        <v>1600</v>
      </c>
      <c r="D29" s="21">
        <v>2100</v>
      </c>
      <c r="E29" s="15">
        <f t="shared" si="4"/>
        <v>1700</v>
      </c>
      <c r="F29" s="15">
        <f t="shared" si="5"/>
        <v>2150</v>
      </c>
      <c r="G29" s="15">
        <v>375130</v>
      </c>
    </row>
    <row r="30" spans="1:7" x14ac:dyDescent="0.25">
      <c r="A30" s="16" t="str">
        <f t="shared" si="6"/>
        <v>PUERTA CH18 1700X2100</v>
      </c>
      <c r="B30" s="16" t="s">
        <v>40</v>
      </c>
      <c r="C30" s="15">
        <v>1700</v>
      </c>
      <c r="D30" s="21">
        <v>2100</v>
      </c>
      <c r="E30" s="15">
        <f t="shared" si="4"/>
        <v>1800</v>
      </c>
      <c r="F30" s="15">
        <f t="shared" si="5"/>
        <v>2150</v>
      </c>
      <c r="G30" s="15">
        <v>397710</v>
      </c>
    </row>
    <row r="31" spans="1:7" x14ac:dyDescent="0.25">
      <c r="A31" s="16" t="str">
        <f t="shared" si="6"/>
        <v>PUERTA CH18 1800X2100</v>
      </c>
      <c r="B31" s="16" t="s">
        <v>40</v>
      </c>
      <c r="C31" s="15">
        <v>1800</v>
      </c>
      <c r="D31" s="21">
        <v>2100</v>
      </c>
      <c r="E31" s="15">
        <f t="shared" si="4"/>
        <v>1900</v>
      </c>
      <c r="F31" s="15">
        <f t="shared" si="5"/>
        <v>2150</v>
      </c>
      <c r="G31" s="15">
        <v>421530</v>
      </c>
    </row>
    <row r="32" spans="1:7" x14ac:dyDescent="0.25">
      <c r="A32" s="16" t="str">
        <f t="shared" si="6"/>
        <v>PUERTA CH18 1900X2100</v>
      </c>
      <c r="B32" s="16" t="s">
        <v>40</v>
      </c>
      <c r="C32" s="15">
        <v>1900</v>
      </c>
      <c r="D32" s="21">
        <v>2100</v>
      </c>
      <c r="E32" s="15">
        <f t="shared" si="4"/>
        <v>2000</v>
      </c>
      <c r="F32" s="15">
        <f t="shared" si="5"/>
        <v>2150</v>
      </c>
      <c r="G32" s="15">
        <v>446780</v>
      </c>
    </row>
    <row r="33" spans="1:7" x14ac:dyDescent="0.25">
      <c r="A33" s="16" t="str">
        <f t="shared" si="6"/>
        <v>PUERTA CH18 2000X2100</v>
      </c>
      <c r="B33" s="16" t="s">
        <v>40</v>
      </c>
      <c r="C33" s="15">
        <v>2000</v>
      </c>
      <c r="D33" s="21">
        <v>2100</v>
      </c>
      <c r="E33" s="15">
        <f>SUM($C33,100)</f>
        <v>2100</v>
      </c>
      <c r="F33" s="15">
        <f>SUM($D33,50)</f>
        <v>2150</v>
      </c>
      <c r="G33" s="15">
        <v>473660</v>
      </c>
    </row>
    <row r="34" spans="1:7" x14ac:dyDescent="0.25">
      <c r="A34" s="16" t="str">
        <f t="shared" si="6"/>
        <v>PUERTA CH18 2100X2100</v>
      </c>
      <c r="B34" s="16" t="s">
        <v>40</v>
      </c>
      <c r="C34" s="15">
        <v>2100</v>
      </c>
      <c r="D34" s="21">
        <v>2100</v>
      </c>
      <c r="E34" s="15">
        <f>SUM($C34,100)</f>
        <v>2200</v>
      </c>
      <c r="F34" s="15">
        <f>SUM($D34,50)</f>
        <v>2150</v>
      </c>
      <c r="G34" s="15">
        <v>502090</v>
      </c>
    </row>
    <row r="35" spans="1:7" x14ac:dyDescent="0.25">
      <c r="A35" s="16" t="str">
        <f t="shared" si="6"/>
        <v>PUERTA CH18 2200X2100</v>
      </c>
      <c r="B35" s="16" t="s">
        <v>40</v>
      </c>
      <c r="C35" s="15">
        <v>2200</v>
      </c>
      <c r="D35" s="21">
        <v>2100</v>
      </c>
      <c r="E35" s="15">
        <f>SUM($C35,100)</f>
        <v>2300</v>
      </c>
      <c r="F35" s="15">
        <f t="shared" ref="F35" si="7">SUM($D35,50)</f>
        <v>2150</v>
      </c>
      <c r="G35" s="15">
        <v>527190</v>
      </c>
    </row>
    <row r="36" spans="1:7" x14ac:dyDescent="0.25">
      <c r="A36" s="16" t="str">
        <f>CONCATENATE("PUERTA ",$B36," ",$C36,"X",$D36)</f>
        <v>PUERTA CH18 600X2200</v>
      </c>
      <c r="B36" s="16" t="s">
        <v>40</v>
      </c>
      <c r="C36" s="21">
        <v>600</v>
      </c>
      <c r="D36" s="21">
        <v>2200</v>
      </c>
      <c r="E36" s="21">
        <v>800</v>
      </c>
      <c r="F36" s="21">
        <v>2050</v>
      </c>
      <c r="G36" s="15">
        <v>230950</v>
      </c>
    </row>
    <row r="37" spans="1:7" x14ac:dyDescent="0.25">
      <c r="A37" s="16" t="str">
        <f>CONCATENATE("PUERTA ",$B37," ",$C37,"X",$D37)</f>
        <v>PUERTA CH18 700X2200</v>
      </c>
      <c r="B37" s="16" t="s">
        <v>40</v>
      </c>
      <c r="C37" s="15">
        <v>700</v>
      </c>
      <c r="D37" s="21">
        <v>2200</v>
      </c>
      <c r="E37" s="15">
        <f t="shared" ref="E37:E49" si="8">SUM($C37,100)</f>
        <v>800</v>
      </c>
      <c r="F37" s="15">
        <f t="shared" ref="F37:F49" si="9">SUM($D37,50)</f>
        <v>2250</v>
      </c>
      <c r="G37" s="15">
        <v>230950</v>
      </c>
    </row>
    <row r="38" spans="1:7" x14ac:dyDescent="0.25">
      <c r="A38" s="16" t="str">
        <f t="shared" ref="A38:A52" si="10">CONCATENATE("PUERTA ",$B38," ",$C38,"X",$D38)</f>
        <v>PUERTA CH18 800X2200</v>
      </c>
      <c r="B38" s="16" t="s">
        <v>40</v>
      </c>
      <c r="C38" s="15">
        <v>800</v>
      </c>
      <c r="D38" s="21">
        <v>2200</v>
      </c>
      <c r="E38" s="15">
        <f t="shared" si="8"/>
        <v>900</v>
      </c>
      <c r="F38" s="15">
        <f t="shared" si="9"/>
        <v>2250</v>
      </c>
      <c r="G38" s="15">
        <v>230950</v>
      </c>
    </row>
    <row r="39" spans="1:7" x14ac:dyDescent="0.25">
      <c r="A39" s="16" t="str">
        <f t="shared" si="10"/>
        <v>PUERTA CH18 900X2200</v>
      </c>
      <c r="B39" s="16" t="s">
        <v>40</v>
      </c>
      <c r="C39" s="15">
        <v>900</v>
      </c>
      <c r="D39" s="21">
        <v>2200</v>
      </c>
      <c r="E39" s="15">
        <f t="shared" si="8"/>
        <v>1000</v>
      </c>
      <c r="F39" s="15">
        <f t="shared" si="9"/>
        <v>2250</v>
      </c>
      <c r="G39" s="15">
        <v>245430</v>
      </c>
    </row>
    <row r="40" spans="1:7" x14ac:dyDescent="0.25">
      <c r="A40" s="16" t="str">
        <f t="shared" si="10"/>
        <v>PUERTA CH18 1000X2200</v>
      </c>
      <c r="B40" s="16" t="s">
        <v>40</v>
      </c>
      <c r="C40" s="15">
        <v>1000</v>
      </c>
      <c r="D40" s="21">
        <v>2200</v>
      </c>
      <c r="E40" s="15">
        <f t="shared" si="8"/>
        <v>1100</v>
      </c>
      <c r="F40" s="15">
        <f t="shared" si="9"/>
        <v>2250</v>
      </c>
      <c r="G40" s="15">
        <v>261960</v>
      </c>
    </row>
    <row r="41" spans="1:7" x14ac:dyDescent="0.25">
      <c r="A41" s="16" t="str">
        <f t="shared" si="10"/>
        <v>PUERTA CH18 1100X2200</v>
      </c>
      <c r="B41" s="16" t="s">
        <v>40</v>
      </c>
      <c r="C41" s="15">
        <v>1100</v>
      </c>
      <c r="D41" s="21">
        <v>2200</v>
      </c>
      <c r="E41" s="15">
        <f t="shared" si="8"/>
        <v>1200</v>
      </c>
      <c r="F41" s="15">
        <f t="shared" si="9"/>
        <v>2250</v>
      </c>
      <c r="G41" s="15">
        <v>280110</v>
      </c>
    </row>
    <row r="42" spans="1:7" x14ac:dyDescent="0.25">
      <c r="A42" s="16" t="str">
        <f t="shared" si="10"/>
        <v>PUERTA CH18 1200X2200</v>
      </c>
      <c r="B42" s="16" t="s">
        <v>40</v>
      </c>
      <c r="C42" s="15">
        <v>1200</v>
      </c>
      <c r="D42" s="21">
        <v>2200</v>
      </c>
      <c r="E42" s="15">
        <f t="shared" si="8"/>
        <v>1300</v>
      </c>
      <c r="F42" s="15">
        <f t="shared" si="9"/>
        <v>2250</v>
      </c>
      <c r="G42" s="15">
        <v>324260</v>
      </c>
    </row>
    <row r="43" spans="1:7" x14ac:dyDescent="0.25">
      <c r="A43" s="16" t="str">
        <f t="shared" si="10"/>
        <v>PUERTA CH18 1300X2200</v>
      </c>
      <c r="B43" s="16" t="s">
        <v>40</v>
      </c>
      <c r="C43" s="15">
        <v>1300</v>
      </c>
      <c r="D43" s="21">
        <v>2200</v>
      </c>
      <c r="E43" s="15">
        <f t="shared" si="8"/>
        <v>1400</v>
      </c>
      <c r="F43" s="15">
        <f t="shared" si="9"/>
        <v>2250</v>
      </c>
      <c r="G43" s="15">
        <v>344230</v>
      </c>
    </row>
    <row r="44" spans="1:7" x14ac:dyDescent="0.25">
      <c r="A44" s="16" t="str">
        <f t="shared" si="10"/>
        <v>PUERTA CH18 1400X2200</v>
      </c>
      <c r="B44" s="16" t="s">
        <v>40</v>
      </c>
      <c r="C44" s="15">
        <v>1400</v>
      </c>
      <c r="D44" s="21">
        <v>2200</v>
      </c>
      <c r="E44" s="15">
        <f t="shared" si="8"/>
        <v>1500</v>
      </c>
      <c r="F44" s="15">
        <f t="shared" si="9"/>
        <v>2250</v>
      </c>
      <c r="G44" s="15">
        <v>360820</v>
      </c>
    </row>
    <row r="45" spans="1:7" x14ac:dyDescent="0.25">
      <c r="A45" s="16" t="str">
        <f t="shared" si="10"/>
        <v>PUERTA CH18 1500X2200</v>
      </c>
      <c r="B45" s="16" t="s">
        <v>40</v>
      </c>
      <c r="C45" s="15">
        <v>1500</v>
      </c>
      <c r="D45" s="21">
        <v>2200</v>
      </c>
      <c r="E45" s="15">
        <f t="shared" si="8"/>
        <v>1600</v>
      </c>
      <c r="F45" s="15">
        <f t="shared" si="9"/>
        <v>2250</v>
      </c>
      <c r="G45" s="15">
        <v>379380</v>
      </c>
    </row>
    <row r="46" spans="1:7" x14ac:dyDescent="0.25">
      <c r="A46" s="16" t="str">
        <f t="shared" si="10"/>
        <v>PUERTA CH18 1600X2200</v>
      </c>
      <c r="B46" s="16" t="s">
        <v>40</v>
      </c>
      <c r="C46" s="15">
        <v>1600</v>
      </c>
      <c r="D46" s="21">
        <v>2200</v>
      </c>
      <c r="E46" s="15">
        <f t="shared" si="8"/>
        <v>1700</v>
      </c>
      <c r="F46" s="15">
        <f t="shared" si="9"/>
        <v>2250</v>
      </c>
      <c r="G46" s="15">
        <v>409250</v>
      </c>
    </row>
    <row r="47" spans="1:7" x14ac:dyDescent="0.25">
      <c r="A47" s="16" t="str">
        <f t="shared" si="10"/>
        <v>PUERTA CH18 1700X2200</v>
      </c>
      <c r="B47" s="16" t="s">
        <v>40</v>
      </c>
      <c r="C47" s="15">
        <v>1700</v>
      </c>
      <c r="D47" s="21">
        <v>2200</v>
      </c>
      <c r="E47" s="15">
        <f t="shared" si="8"/>
        <v>1800</v>
      </c>
      <c r="F47" s="15">
        <f t="shared" si="9"/>
        <v>2250</v>
      </c>
      <c r="G47" s="15">
        <v>433860</v>
      </c>
    </row>
    <row r="48" spans="1:7" x14ac:dyDescent="0.25">
      <c r="A48" s="16" t="str">
        <f t="shared" si="10"/>
        <v>PUERTA CH18 1800X2200</v>
      </c>
      <c r="B48" s="16" t="s">
        <v>40</v>
      </c>
      <c r="C48" s="15">
        <v>1800</v>
      </c>
      <c r="D48" s="21">
        <v>2200</v>
      </c>
      <c r="E48" s="15">
        <f t="shared" si="8"/>
        <v>1900</v>
      </c>
      <c r="F48" s="15">
        <f t="shared" si="9"/>
        <v>2250</v>
      </c>
      <c r="G48" s="15">
        <v>459820</v>
      </c>
    </row>
    <row r="49" spans="1:7" x14ac:dyDescent="0.25">
      <c r="A49" s="16" t="str">
        <f t="shared" si="10"/>
        <v>PUERTA CH18 1900X2200</v>
      </c>
      <c r="B49" s="16" t="s">
        <v>40</v>
      </c>
      <c r="C49" s="15">
        <v>1900</v>
      </c>
      <c r="D49" s="21">
        <v>2200</v>
      </c>
      <c r="E49" s="15">
        <f t="shared" si="8"/>
        <v>2000</v>
      </c>
      <c r="F49" s="15">
        <f t="shared" si="9"/>
        <v>2250</v>
      </c>
      <c r="G49" s="15">
        <v>487450</v>
      </c>
    </row>
    <row r="50" spans="1:7" x14ac:dyDescent="0.25">
      <c r="A50" s="16" t="str">
        <f t="shared" si="10"/>
        <v>PUERTA CH18 2000X2200</v>
      </c>
      <c r="B50" s="16" t="s">
        <v>40</v>
      </c>
      <c r="C50" s="15">
        <v>2000</v>
      </c>
      <c r="D50" s="21">
        <v>2200</v>
      </c>
      <c r="E50" s="15">
        <f>SUM($C50,100)</f>
        <v>2100</v>
      </c>
      <c r="F50" s="15">
        <f>SUM($D50,50)</f>
        <v>2250</v>
      </c>
      <c r="G50" s="15">
        <v>516700</v>
      </c>
    </row>
    <row r="51" spans="1:7" x14ac:dyDescent="0.25">
      <c r="A51" s="16" t="str">
        <f t="shared" si="10"/>
        <v>PUERTA CH18 2100X2200</v>
      </c>
      <c r="B51" s="16" t="s">
        <v>40</v>
      </c>
      <c r="C51" s="15">
        <v>2100</v>
      </c>
      <c r="D51" s="21">
        <v>2200</v>
      </c>
      <c r="E51" s="15">
        <f>SUM($C51,100)</f>
        <v>2200</v>
      </c>
      <c r="F51" s="15">
        <f>SUM($D51,50)</f>
        <v>2250</v>
      </c>
      <c r="G51" s="15">
        <v>547720</v>
      </c>
    </row>
    <row r="52" spans="1:7" x14ac:dyDescent="0.25">
      <c r="A52" s="16" t="str">
        <f t="shared" si="10"/>
        <v>PUERTA CH18 2200X2200</v>
      </c>
      <c r="B52" s="16" t="s">
        <v>40</v>
      </c>
      <c r="C52" s="15">
        <v>2200</v>
      </c>
      <c r="D52" s="21">
        <v>2200</v>
      </c>
      <c r="E52" s="15">
        <f>SUM($C52,100)</f>
        <v>2300</v>
      </c>
      <c r="F52" s="15">
        <f t="shared" ref="F52" si="11">SUM($D52,50)</f>
        <v>2250</v>
      </c>
      <c r="G52" s="15">
        <v>575120</v>
      </c>
    </row>
    <row r="53" spans="1:7" x14ac:dyDescent="0.25">
      <c r="A53" s="16" t="str">
        <f>CONCATENATE("PUERTA ",$B53," ",$C53,"X",$D53)</f>
        <v>PUERTA CH18 600X2300</v>
      </c>
      <c r="B53" s="16" t="s">
        <v>40</v>
      </c>
      <c r="C53" s="21">
        <v>600</v>
      </c>
      <c r="D53" s="21">
        <v>2300</v>
      </c>
      <c r="E53" s="21">
        <v>800</v>
      </c>
      <c r="F53" s="21">
        <v>2050</v>
      </c>
      <c r="G53" s="15">
        <v>250240</v>
      </c>
    </row>
    <row r="54" spans="1:7" x14ac:dyDescent="0.25">
      <c r="A54" s="16" t="str">
        <f>CONCATENATE("PUERTA ",$B54," ",$C54,"X",$D54)</f>
        <v>PUERTA CH18 700X2300</v>
      </c>
      <c r="B54" s="16" t="s">
        <v>40</v>
      </c>
      <c r="C54" s="15">
        <v>700</v>
      </c>
      <c r="D54" s="21">
        <v>2300</v>
      </c>
      <c r="E54" s="15">
        <f t="shared" ref="E54:E66" si="12">SUM($C54,100)</f>
        <v>800</v>
      </c>
      <c r="F54" s="15">
        <f t="shared" ref="F54:F66" si="13">SUM($D54,50)</f>
        <v>2350</v>
      </c>
      <c r="G54" s="15">
        <v>250240</v>
      </c>
    </row>
    <row r="55" spans="1:7" x14ac:dyDescent="0.25">
      <c r="A55" s="16" t="str">
        <f t="shared" ref="A55:A69" si="14">CONCATENATE("PUERTA ",$B55," ",$C55,"X",$D55)</f>
        <v>PUERTA CH18 800X2300</v>
      </c>
      <c r="B55" s="16" t="s">
        <v>40</v>
      </c>
      <c r="C55" s="15">
        <v>800</v>
      </c>
      <c r="D55" s="21">
        <v>2300</v>
      </c>
      <c r="E55" s="15">
        <f t="shared" si="12"/>
        <v>900</v>
      </c>
      <c r="F55" s="15">
        <f t="shared" si="13"/>
        <v>2350</v>
      </c>
      <c r="G55" s="15">
        <v>250240</v>
      </c>
    </row>
    <row r="56" spans="1:7" x14ac:dyDescent="0.25">
      <c r="A56" s="16" t="str">
        <f t="shared" si="14"/>
        <v>PUERTA CH18 900X2300</v>
      </c>
      <c r="B56" s="16" t="s">
        <v>40</v>
      </c>
      <c r="C56" s="15">
        <v>900</v>
      </c>
      <c r="D56" s="21">
        <v>2300</v>
      </c>
      <c r="E56" s="15">
        <f t="shared" si="12"/>
        <v>1000</v>
      </c>
      <c r="F56" s="15">
        <f t="shared" si="13"/>
        <v>2350</v>
      </c>
      <c r="G56" s="15">
        <v>265890</v>
      </c>
    </row>
    <row r="57" spans="1:7" x14ac:dyDescent="0.25">
      <c r="A57" s="16" t="str">
        <f t="shared" si="14"/>
        <v>PUERTA CH18 1000X2300</v>
      </c>
      <c r="B57" s="16" t="s">
        <v>40</v>
      </c>
      <c r="C57" s="15">
        <v>1000</v>
      </c>
      <c r="D57" s="21">
        <v>2300</v>
      </c>
      <c r="E57" s="15">
        <f t="shared" si="12"/>
        <v>1100</v>
      </c>
      <c r="F57" s="15">
        <f t="shared" si="13"/>
        <v>2350</v>
      </c>
      <c r="G57" s="15">
        <v>283750</v>
      </c>
    </row>
    <row r="58" spans="1:7" x14ac:dyDescent="0.25">
      <c r="A58" s="16" t="str">
        <f t="shared" si="14"/>
        <v>PUERTA CH18 1100X2300</v>
      </c>
      <c r="B58" s="16" t="s">
        <v>40</v>
      </c>
      <c r="C58" s="15">
        <v>1100</v>
      </c>
      <c r="D58" s="21">
        <v>2300</v>
      </c>
      <c r="E58" s="15">
        <f t="shared" si="12"/>
        <v>1200</v>
      </c>
      <c r="F58" s="15">
        <f t="shared" si="13"/>
        <v>2350</v>
      </c>
      <c r="G58" s="15">
        <v>303420</v>
      </c>
    </row>
    <row r="59" spans="1:7" x14ac:dyDescent="0.25">
      <c r="A59" s="16" t="str">
        <f t="shared" si="14"/>
        <v>PUERTA CH18 1200X2300</v>
      </c>
      <c r="B59" s="16" t="s">
        <v>40</v>
      </c>
      <c r="C59" s="15">
        <v>1200</v>
      </c>
      <c r="D59" s="21">
        <v>2300</v>
      </c>
      <c r="E59" s="15">
        <f t="shared" si="12"/>
        <v>1300</v>
      </c>
      <c r="F59" s="15">
        <f t="shared" si="13"/>
        <v>2350</v>
      </c>
      <c r="G59" s="15">
        <v>351260</v>
      </c>
    </row>
    <row r="60" spans="1:7" x14ac:dyDescent="0.25">
      <c r="A60" s="16" t="str">
        <f t="shared" si="14"/>
        <v>PUERTA CH18 1300X2300</v>
      </c>
      <c r="B60" s="16" t="s">
        <v>40</v>
      </c>
      <c r="C60" s="15">
        <v>1300</v>
      </c>
      <c r="D60" s="21">
        <v>2300</v>
      </c>
      <c r="E60" s="15">
        <f t="shared" si="12"/>
        <v>1400</v>
      </c>
      <c r="F60" s="15">
        <f t="shared" si="13"/>
        <v>2350</v>
      </c>
      <c r="G60" s="15">
        <v>372920</v>
      </c>
    </row>
    <row r="61" spans="1:7" x14ac:dyDescent="0.25">
      <c r="A61" s="16" t="str">
        <f t="shared" si="14"/>
        <v>PUERTA CH18 1400X2300</v>
      </c>
      <c r="B61" s="16" t="s">
        <v>40</v>
      </c>
      <c r="C61" s="15">
        <v>1400</v>
      </c>
      <c r="D61" s="21">
        <v>2300</v>
      </c>
      <c r="E61" s="15">
        <f t="shared" si="12"/>
        <v>1500</v>
      </c>
      <c r="F61" s="15">
        <f t="shared" si="13"/>
        <v>2350</v>
      </c>
      <c r="G61" s="15">
        <v>390850</v>
      </c>
    </row>
    <row r="62" spans="1:7" x14ac:dyDescent="0.25">
      <c r="A62" s="16" t="str">
        <f t="shared" si="14"/>
        <v>PUERTA CH18 1500X2300</v>
      </c>
      <c r="B62" s="16" t="s">
        <v>40</v>
      </c>
      <c r="C62" s="15">
        <v>1500</v>
      </c>
      <c r="D62" s="21">
        <v>2300</v>
      </c>
      <c r="E62" s="15">
        <f t="shared" si="12"/>
        <v>1600</v>
      </c>
      <c r="F62" s="15">
        <f t="shared" si="13"/>
        <v>2350</v>
      </c>
      <c r="G62" s="15">
        <v>410940</v>
      </c>
    </row>
    <row r="63" spans="1:7" x14ac:dyDescent="0.25">
      <c r="A63" s="16" t="str">
        <f t="shared" si="14"/>
        <v>PUERTA CH18 1600X2300</v>
      </c>
      <c r="B63" s="16" t="s">
        <v>40</v>
      </c>
      <c r="C63" s="15">
        <v>1600</v>
      </c>
      <c r="D63" s="21">
        <v>2300</v>
      </c>
      <c r="E63" s="15">
        <f t="shared" si="12"/>
        <v>1700</v>
      </c>
      <c r="F63" s="15">
        <f t="shared" si="13"/>
        <v>2350</v>
      </c>
      <c r="G63" s="15">
        <v>443350</v>
      </c>
    </row>
    <row r="64" spans="1:7" x14ac:dyDescent="0.25">
      <c r="A64" s="16" t="str">
        <f t="shared" si="14"/>
        <v>PUERTA CH18 1700X2300</v>
      </c>
      <c r="B64" s="16" t="s">
        <v>40</v>
      </c>
      <c r="C64" s="15">
        <v>1700</v>
      </c>
      <c r="D64" s="21">
        <v>2300</v>
      </c>
      <c r="E64" s="15">
        <f t="shared" si="12"/>
        <v>1800</v>
      </c>
      <c r="F64" s="15">
        <f t="shared" si="13"/>
        <v>2350</v>
      </c>
      <c r="G64" s="15">
        <v>470070</v>
      </c>
    </row>
    <row r="65" spans="1:7" x14ac:dyDescent="0.25">
      <c r="A65" s="16" t="str">
        <f t="shared" si="14"/>
        <v>PUERTA CH18 1800X2300</v>
      </c>
      <c r="B65" s="16" t="s">
        <v>40</v>
      </c>
      <c r="C65" s="15">
        <v>1800</v>
      </c>
      <c r="D65" s="21">
        <v>2300</v>
      </c>
      <c r="E65" s="15">
        <f t="shared" si="12"/>
        <v>1900</v>
      </c>
      <c r="F65" s="15">
        <f t="shared" si="13"/>
        <v>2350</v>
      </c>
      <c r="G65" s="15">
        <v>498200</v>
      </c>
    </row>
    <row r="66" spans="1:7" x14ac:dyDescent="0.25">
      <c r="A66" s="16" t="str">
        <f t="shared" si="14"/>
        <v>PUERTA CH18 1900X2300</v>
      </c>
      <c r="B66" s="16" t="s">
        <v>40</v>
      </c>
      <c r="C66" s="15">
        <v>1900</v>
      </c>
      <c r="D66" s="21">
        <v>2300</v>
      </c>
      <c r="E66" s="15">
        <f t="shared" si="12"/>
        <v>2000</v>
      </c>
      <c r="F66" s="15">
        <f t="shared" si="13"/>
        <v>2350</v>
      </c>
      <c r="G66" s="15">
        <v>528030</v>
      </c>
    </row>
    <row r="67" spans="1:7" x14ac:dyDescent="0.25">
      <c r="A67" s="16" t="str">
        <f t="shared" si="14"/>
        <v>PUERTA CH18 2000X2300</v>
      </c>
      <c r="B67" s="16" t="s">
        <v>40</v>
      </c>
      <c r="C67" s="15">
        <v>2000</v>
      </c>
      <c r="D67" s="21">
        <v>2300</v>
      </c>
      <c r="E67" s="15">
        <f>SUM($C67,100)</f>
        <v>2100</v>
      </c>
      <c r="F67" s="15">
        <f>SUM($D67,50)</f>
        <v>2350</v>
      </c>
      <c r="G67" s="15">
        <v>559750</v>
      </c>
    </row>
    <row r="68" spans="1:7" x14ac:dyDescent="0.25">
      <c r="A68" s="16" t="str">
        <f t="shared" si="14"/>
        <v>PUERTA CH18 2100X2300</v>
      </c>
      <c r="B68" s="16" t="s">
        <v>40</v>
      </c>
      <c r="C68" s="15">
        <v>2100</v>
      </c>
      <c r="D68" s="21">
        <v>2300</v>
      </c>
      <c r="E68" s="15">
        <f>SUM($C68,100)</f>
        <v>2200</v>
      </c>
      <c r="F68" s="15">
        <f>SUM($D68,50)</f>
        <v>2350</v>
      </c>
      <c r="G68" s="15">
        <v>593330</v>
      </c>
    </row>
    <row r="69" spans="1:7" x14ac:dyDescent="0.25">
      <c r="A69" s="16" t="str">
        <f t="shared" si="14"/>
        <v>PUERTA CH18 2200X2300</v>
      </c>
      <c r="B69" s="16" t="s">
        <v>40</v>
      </c>
      <c r="C69" s="15">
        <v>2200</v>
      </c>
      <c r="D69" s="21">
        <v>2300</v>
      </c>
      <c r="E69" s="15">
        <f>SUM($C69,100)</f>
        <v>2300</v>
      </c>
      <c r="F69" s="15">
        <f t="shared" ref="F69" si="15">SUM($D69,50)</f>
        <v>2350</v>
      </c>
      <c r="G69" s="15">
        <v>623040</v>
      </c>
    </row>
    <row r="70" spans="1:7" x14ac:dyDescent="0.25">
      <c r="A70" s="16" t="str">
        <f>CONCATENATE("PUERTA ",$B70," ",$C70,"X",$D70)</f>
        <v>PUERTA CH18 600X2400</v>
      </c>
      <c r="B70" s="16" t="s">
        <v>40</v>
      </c>
      <c r="C70" s="21">
        <v>600</v>
      </c>
      <c r="D70" s="21">
        <v>2400</v>
      </c>
      <c r="E70" s="21">
        <v>800</v>
      </c>
      <c r="F70" s="21">
        <v>2050</v>
      </c>
      <c r="G70" s="15">
        <v>192520</v>
      </c>
    </row>
    <row r="71" spans="1:7" x14ac:dyDescent="0.25">
      <c r="A71" s="16" t="str">
        <f>CONCATENATE("PUERTA ",$B71," ",$C71,"X",$D71)</f>
        <v>PUERTA CH18 700X2400</v>
      </c>
      <c r="B71" s="16" t="s">
        <v>40</v>
      </c>
      <c r="C71" s="15">
        <v>700</v>
      </c>
      <c r="D71" s="21">
        <v>2400</v>
      </c>
      <c r="E71" s="15">
        <f t="shared" ref="E71:E83" si="16">SUM($C71,100)</f>
        <v>800</v>
      </c>
      <c r="F71" s="15">
        <f t="shared" ref="F71:F83" si="17">SUM($D71,50)</f>
        <v>2450</v>
      </c>
      <c r="G71" s="15">
        <v>192520</v>
      </c>
    </row>
    <row r="72" spans="1:7" x14ac:dyDescent="0.25">
      <c r="A72" s="16" t="str">
        <f t="shared" ref="A72:A86" si="18">CONCATENATE("PUERTA ",$B72," ",$C72,"X",$D72)</f>
        <v>PUERTA CH18 800X2400</v>
      </c>
      <c r="B72" s="16" t="s">
        <v>40</v>
      </c>
      <c r="C72" s="15">
        <v>800</v>
      </c>
      <c r="D72" s="21">
        <v>2400</v>
      </c>
      <c r="E72" s="15">
        <f t="shared" si="16"/>
        <v>900</v>
      </c>
      <c r="F72" s="15">
        <f t="shared" si="17"/>
        <v>2450</v>
      </c>
      <c r="G72" s="15">
        <v>192520</v>
      </c>
    </row>
    <row r="73" spans="1:7" x14ac:dyDescent="0.25">
      <c r="A73" s="16" t="str">
        <f t="shared" si="18"/>
        <v>PUERTA CH18 900X2400</v>
      </c>
      <c r="B73" s="16" t="s">
        <v>40</v>
      </c>
      <c r="C73" s="15">
        <v>900</v>
      </c>
      <c r="D73" s="21">
        <v>2400</v>
      </c>
      <c r="E73" s="15">
        <f t="shared" si="16"/>
        <v>1000</v>
      </c>
      <c r="F73" s="15">
        <f t="shared" si="17"/>
        <v>2450</v>
      </c>
      <c r="G73" s="15">
        <v>204570</v>
      </c>
    </row>
    <row r="74" spans="1:7" x14ac:dyDescent="0.25">
      <c r="A74" s="16" t="str">
        <f t="shared" si="18"/>
        <v>PUERTA CH18 1000X2400</v>
      </c>
      <c r="B74" s="16" t="s">
        <v>40</v>
      </c>
      <c r="C74" s="15">
        <v>1000</v>
      </c>
      <c r="D74" s="21">
        <v>2400</v>
      </c>
      <c r="E74" s="15">
        <f t="shared" si="16"/>
        <v>1100</v>
      </c>
      <c r="F74" s="15">
        <f t="shared" si="17"/>
        <v>2450</v>
      </c>
      <c r="G74" s="15">
        <v>218230</v>
      </c>
    </row>
    <row r="75" spans="1:7" x14ac:dyDescent="0.25">
      <c r="A75" s="16" t="str">
        <f t="shared" si="18"/>
        <v>PUERTA CH18 1100X2400</v>
      </c>
      <c r="B75" s="16" t="s">
        <v>40</v>
      </c>
      <c r="C75" s="15">
        <v>1100</v>
      </c>
      <c r="D75" s="21">
        <v>2400</v>
      </c>
      <c r="E75" s="15">
        <f t="shared" si="16"/>
        <v>1200</v>
      </c>
      <c r="F75" s="15">
        <f t="shared" si="17"/>
        <v>2450</v>
      </c>
      <c r="G75" s="15">
        <v>233430</v>
      </c>
    </row>
    <row r="76" spans="1:7" x14ac:dyDescent="0.25">
      <c r="A76" s="16" t="str">
        <f t="shared" si="18"/>
        <v>PUERTA CH18 1200X2400</v>
      </c>
      <c r="B76" s="16" t="s">
        <v>40</v>
      </c>
      <c r="C76" s="15">
        <v>1200</v>
      </c>
      <c r="D76" s="21">
        <v>2400</v>
      </c>
      <c r="E76" s="15">
        <f t="shared" si="16"/>
        <v>1300</v>
      </c>
      <c r="F76" s="15">
        <f t="shared" si="17"/>
        <v>2450</v>
      </c>
      <c r="G76" s="15">
        <v>270210</v>
      </c>
    </row>
    <row r="77" spans="1:7" x14ac:dyDescent="0.25">
      <c r="A77" s="16" t="str">
        <f t="shared" si="18"/>
        <v>PUERTA CH18 1300X2400</v>
      </c>
      <c r="B77" s="16" t="s">
        <v>40</v>
      </c>
      <c r="C77" s="15">
        <v>1300</v>
      </c>
      <c r="D77" s="21">
        <v>2400</v>
      </c>
      <c r="E77" s="15">
        <f t="shared" si="16"/>
        <v>1400</v>
      </c>
      <c r="F77" s="15">
        <f t="shared" si="17"/>
        <v>2450</v>
      </c>
      <c r="G77" s="15">
        <v>286820</v>
      </c>
    </row>
    <row r="78" spans="1:7" x14ac:dyDescent="0.25">
      <c r="A78" s="16" t="str">
        <f t="shared" si="18"/>
        <v>PUERTA CH18 1400X2400</v>
      </c>
      <c r="B78" s="16" t="s">
        <v>40</v>
      </c>
      <c r="C78" s="15">
        <v>1400</v>
      </c>
      <c r="D78" s="21">
        <v>2400</v>
      </c>
      <c r="E78" s="15">
        <f t="shared" si="16"/>
        <v>1500</v>
      </c>
      <c r="F78" s="15">
        <f t="shared" si="17"/>
        <v>2450</v>
      </c>
      <c r="G78" s="15">
        <v>300660</v>
      </c>
    </row>
    <row r="79" spans="1:7" x14ac:dyDescent="0.25">
      <c r="A79" s="16" t="str">
        <f t="shared" si="18"/>
        <v>PUERTA CH18 1500X2400</v>
      </c>
      <c r="B79" s="16" t="s">
        <v>40</v>
      </c>
      <c r="C79" s="15">
        <v>1500</v>
      </c>
      <c r="D79" s="21">
        <v>2400</v>
      </c>
      <c r="E79" s="15">
        <f t="shared" si="16"/>
        <v>1600</v>
      </c>
      <c r="F79" s="15">
        <f t="shared" si="17"/>
        <v>2450</v>
      </c>
      <c r="G79" s="15">
        <v>316160</v>
      </c>
    </row>
    <row r="80" spans="1:7" x14ac:dyDescent="0.25">
      <c r="A80" s="16" t="str">
        <f t="shared" si="18"/>
        <v>PUERTA CH18 1600X2400</v>
      </c>
      <c r="B80" s="16" t="s">
        <v>40</v>
      </c>
      <c r="C80" s="15">
        <v>1600</v>
      </c>
      <c r="D80" s="21">
        <v>2400</v>
      </c>
      <c r="E80" s="15">
        <f t="shared" si="16"/>
        <v>1700</v>
      </c>
      <c r="F80" s="15">
        <f t="shared" si="17"/>
        <v>2450</v>
      </c>
      <c r="G80" s="15">
        <v>341070</v>
      </c>
    </row>
    <row r="81" spans="1:7" x14ac:dyDescent="0.25">
      <c r="A81" s="16" t="str">
        <f t="shared" si="18"/>
        <v>PUERTA CH18 1700X2400</v>
      </c>
      <c r="B81" s="16" t="s">
        <v>40</v>
      </c>
      <c r="C81" s="15">
        <v>1700</v>
      </c>
      <c r="D81" s="21">
        <v>2400</v>
      </c>
      <c r="E81" s="15">
        <f t="shared" si="16"/>
        <v>1800</v>
      </c>
      <c r="F81" s="15">
        <f t="shared" si="17"/>
        <v>2450</v>
      </c>
      <c r="G81" s="15">
        <v>361560</v>
      </c>
    </row>
    <row r="82" spans="1:7" x14ac:dyDescent="0.25">
      <c r="A82" s="16" t="str">
        <f t="shared" si="18"/>
        <v>PUERTA CH18 1800X2400</v>
      </c>
      <c r="B82" s="16" t="s">
        <v>40</v>
      </c>
      <c r="C82" s="15">
        <v>1800</v>
      </c>
      <c r="D82" s="21">
        <v>2400</v>
      </c>
      <c r="E82" s="15">
        <f t="shared" si="16"/>
        <v>1900</v>
      </c>
      <c r="F82" s="15">
        <f t="shared" si="17"/>
        <v>2450</v>
      </c>
      <c r="G82" s="15">
        <v>383280</v>
      </c>
    </row>
    <row r="83" spans="1:7" x14ac:dyDescent="0.25">
      <c r="A83" s="16" t="str">
        <f t="shared" si="18"/>
        <v>PUERTA CH18 1900X2400</v>
      </c>
      <c r="B83" s="16" t="s">
        <v>40</v>
      </c>
      <c r="C83" s="15">
        <v>1900</v>
      </c>
      <c r="D83" s="21">
        <v>2400</v>
      </c>
      <c r="E83" s="15">
        <f t="shared" si="16"/>
        <v>2000</v>
      </c>
      <c r="F83" s="15">
        <f t="shared" si="17"/>
        <v>2450</v>
      </c>
      <c r="G83" s="15">
        <v>406200</v>
      </c>
    </row>
    <row r="84" spans="1:7" x14ac:dyDescent="0.25">
      <c r="A84" s="16" t="str">
        <f t="shared" si="18"/>
        <v>PUERTA CH18 2000X2400</v>
      </c>
      <c r="B84" s="16" t="s">
        <v>40</v>
      </c>
      <c r="C84" s="15">
        <v>2000</v>
      </c>
      <c r="D84" s="21">
        <v>2400</v>
      </c>
      <c r="E84" s="15">
        <f>SUM($C84,100)</f>
        <v>2100</v>
      </c>
      <c r="F84" s="15">
        <f>SUM($D84,50)</f>
        <v>2450</v>
      </c>
      <c r="G84" s="15">
        <v>430610</v>
      </c>
    </row>
    <row r="85" spans="1:7" x14ac:dyDescent="0.25">
      <c r="A85" s="16" t="str">
        <f t="shared" si="18"/>
        <v>PUERTA CH18 2100X2400</v>
      </c>
      <c r="B85" s="16" t="s">
        <v>40</v>
      </c>
      <c r="C85" s="15">
        <v>2100</v>
      </c>
      <c r="D85" s="21">
        <v>2400</v>
      </c>
      <c r="E85" s="15">
        <f>SUM($C85,100)</f>
        <v>2200</v>
      </c>
      <c r="F85" s="15">
        <f>SUM($D85,50)</f>
        <v>2450</v>
      </c>
      <c r="G85" s="15">
        <v>456400</v>
      </c>
    </row>
    <row r="86" spans="1:7" x14ac:dyDescent="0.25">
      <c r="A86" s="16" t="str">
        <f t="shared" si="18"/>
        <v>PUERTA CH18 2200X2400</v>
      </c>
      <c r="B86" s="16" t="s">
        <v>40</v>
      </c>
      <c r="C86" s="15">
        <v>2200</v>
      </c>
      <c r="D86" s="21">
        <v>2400</v>
      </c>
      <c r="E86" s="15">
        <f>SUM($C86,100)</f>
        <v>2300</v>
      </c>
      <c r="F86" s="15">
        <f t="shared" ref="F86" si="19">SUM($D86,50)</f>
        <v>2450</v>
      </c>
      <c r="G86" s="15">
        <v>479270</v>
      </c>
    </row>
    <row r="87" spans="1:7" x14ac:dyDescent="0.25">
      <c r="A87" s="16" t="str">
        <f>CONCATENATE("PUERTA ",$B87," ",$C87,"X",$D87)</f>
        <v>PUERTA RF30 600X2000</v>
      </c>
      <c r="B87" s="16" t="s">
        <v>36</v>
      </c>
      <c r="C87" s="21">
        <v>600</v>
      </c>
      <c r="D87" s="21">
        <v>2000</v>
      </c>
      <c r="E87" s="21">
        <v>700</v>
      </c>
      <c r="F87" s="21">
        <v>2050</v>
      </c>
      <c r="G87" s="15">
        <v>198860</v>
      </c>
    </row>
    <row r="88" spans="1:7" x14ac:dyDescent="0.25">
      <c r="A88" s="16" t="str">
        <f>CONCATENATE("PUERTA ",$B88," ",$C88,"X",$D88)</f>
        <v>PUERTA RF30 700X2000</v>
      </c>
      <c r="B88" s="16" t="s">
        <v>36</v>
      </c>
      <c r="C88" s="15">
        <v>700</v>
      </c>
      <c r="D88" s="15">
        <v>2000</v>
      </c>
      <c r="E88" s="15">
        <f t="shared" ref="E88:E100" si="20">SUM($C88,100)</f>
        <v>800</v>
      </c>
      <c r="F88" s="15">
        <f t="shared" ref="F88:F100" si="21">SUM($D88,50)</f>
        <v>2050</v>
      </c>
      <c r="G88" s="15">
        <v>198860</v>
      </c>
    </row>
    <row r="89" spans="1:7" x14ac:dyDescent="0.25">
      <c r="A89" s="16" t="str">
        <f t="shared" ref="A89:A103" si="22">CONCATENATE("PUERTA ",$B89," ",$C89,"X",$D89)</f>
        <v>PUERTA RF30 800X2000</v>
      </c>
      <c r="B89" s="16" t="s">
        <v>36</v>
      </c>
      <c r="C89" s="15">
        <v>800</v>
      </c>
      <c r="D89" s="15">
        <v>2000</v>
      </c>
      <c r="E89" s="15">
        <f t="shared" si="20"/>
        <v>900</v>
      </c>
      <c r="F89" s="15">
        <f t="shared" si="21"/>
        <v>2050</v>
      </c>
      <c r="G89" s="15">
        <v>198860</v>
      </c>
    </row>
    <row r="90" spans="1:7" x14ac:dyDescent="0.25">
      <c r="A90" s="16" t="str">
        <f t="shared" si="22"/>
        <v>PUERTA RF30 900X2000</v>
      </c>
      <c r="B90" s="16" t="s">
        <v>36</v>
      </c>
      <c r="C90" s="15">
        <v>900</v>
      </c>
      <c r="D90" s="15">
        <v>2000</v>
      </c>
      <c r="E90" s="15">
        <f t="shared" si="20"/>
        <v>1000</v>
      </c>
      <c r="F90" s="15">
        <f t="shared" si="21"/>
        <v>2050</v>
      </c>
      <c r="G90" s="15">
        <v>207920</v>
      </c>
    </row>
    <row r="91" spans="1:7" x14ac:dyDescent="0.25">
      <c r="A91" s="16" t="str">
        <f t="shared" si="22"/>
        <v>PUERTA RF30 1000X2000</v>
      </c>
      <c r="B91" s="16" t="s">
        <v>36</v>
      </c>
      <c r="C91" s="15">
        <v>1000</v>
      </c>
      <c r="D91" s="15">
        <v>2000</v>
      </c>
      <c r="E91" s="15">
        <f t="shared" si="20"/>
        <v>1100</v>
      </c>
      <c r="F91" s="15">
        <f t="shared" si="21"/>
        <v>2050</v>
      </c>
      <c r="G91" s="15">
        <v>221790</v>
      </c>
    </row>
    <row r="92" spans="1:7" x14ac:dyDescent="0.25">
      <c r="A92" s="16" t="str">
        <f t="shared" si="22"/>
        <v>PUERTA RF30 1100X2000</v>
      </c>
      <c r="B92" s="16" t="s">
        <v>36</v>
      </c>
      <c r="C92" s="15">
        <v>1100</v>
      </c>
      <c r="D92" s="15">
        <v>2000</v>
      </c>
      <c r="E92" s="15">
        <f t="shared" si="20"/>
        <v>1200</v>
      </c>
      <c r="F92" s="15">
        <f t="shared" si="21"/>
        <v>2050</v>
      </c>
      <c r="G92" s="15">
        <v>237350</v>
      </c>
    </row>
    <row r="93" spans="1:7" x14ac:dyDescent="0.25">
      <c r="A93" s="16" t="str">
        <f t="shared" si="22"/>
        <v>PUERTA RF30 1200X2000</v>
      </c>
      <c r="B93" s="16" t="s">
        <v>36</v>
      </c>
      <c r="C93" s="15">
        <v>1200</v>
      </c>
      <c r="D93" s="15">
        <v>2000</v>
      </c>
      <c r="E93" s="15">
        <f t="shared" si="20"/>
        <v>1300</v>
      </c>
      <c r="F93" s="15">
        <f t="shared" si="21"/>
        <v>2050</v>
      </c>
      <c r="G93" s="15">
        <v>273230</v>
      </c>
    </row>
    <row r="94" spans="1:7" x14ac:dyDescent="0.25">
      <c r="A94" s="16" t="str">
        <f t="shared" si="22"/>
        <v>PUERTA RF30 1300X2000</v>
      </c>
      <c r="B94" s="16" t="s">
        <v>36</v>
      </c>
      <c r="C94" s="15">
        <v>1300</v>
      </c>
      <c r="D94" s="15">
        <v>2000</v>
      </c>
      <c r="E94" s="15">
        <f t="shared" si="20"/>
        <v>1400</v>
      </c>
      <c r="F94" s="15">
        <f t="shared" si="21"/>
        <v>2050</v>
      </c>
      <c r="G94" s="15">
        <v>289390</v>
      </c>
    </row>
    <row r="95" spans="1:7" x14ac:dyDescent="0.25">
      <c r="A95" s="16" t="str">
        <f t="shared" si="22"/>
        <v>PUERTA RF30 1400X2000</v>
      </c>
      <c r="B95" s="16" t="s">
        <v>36</v>
      </c>
      <c r="C95" s="15">
        <v>1400</v>
      </c>
      <c r="D95" s="15">
        <v>2000</v>
      </c>
      <c r="E95" s="15">
        <f t="shared" si="20"/>
        <v>1500</v>
      </c>
      <c r="F95" s="15">
        <f t="shared" si="21"/>
        <v>2050</v>
      </c>
      <c r="G95" s="15">
        <v>307100</v>
      </c>
    </row>
    <row r="96" spans="1:7" x14ac:dyDescent="0.25">
      <c r="A96" s="16" t="str">
        <f t="shared" si="22"/>
        <v>PUERTA RF30 1500X2000</v>
      </c>
      <c r="B96" s="16" t="s">
        <v>36</v>
      </c>
      <c r="C96" s="15">
        <v>1500</v>
      </c>
      <c r="D96" s="15">
        <v>2000</v>
      </c>
      <c r="E96" s="15">
        <f t="shared" si="20"/>
        <v>1600</v>
      </c>
      <c r="F96" s="15">
        <f t="shared" si="21"/>
        <v>2050</v>
      </c>
      <c r="G96" s="15">
        <v>328450</v>
      </c>
    </row>
    <row r="97" spans="1:7" x14ac:dyDescent="0.25">
      <c r="A97" s="16" t="str">
        <f t="shared" si="22"/>
        <v>PUERTA RF30 1600X2000</v>
      </c>
      <c r="B97" s="16" t="s">
        <v>36</v>
      </c>
      <c r="C97" s="15">
        <v>1600</v>
      </c>
      <c r="D97" s="15">
        <v>2000</v>
      </c>
      <c r="E97" s="15">
        <f t="shared" si="20"/>
        <v>1700</v>
      </c>
      <c r="F97" s="15">
        <f t="shared" si="21"/>
        <v>2050</v>
      </c>
      <c r="G97" s="15">
        <v>351360</v>
      </c>
    </row>
    <row r="98" spans="1:7" x14ac:dyDescent="0.25">
      <c r="A98" s="16" t="str">
        <f t="shared" si="22"/>
        <v>PUERTA RF30 1700X2000</v>
      </c>
      <c r="B98" s="16" t="s">
        <v>36</v>
      </c>
      <c r="C98" s="15">
        <v>1700</v>
      </c>
      <c r="D98" s="15">
        <v>2000</v>
      </c>
      <c r="E98" s="15">
        <f t="shared" si="20"/>
        <v>1800</v>
      </c>
      <c r="F98" s="15">
        <f t="shared" si="21"/>
        <v>2050</v>
      </c>
      <c r="G98" s="15">
        <v>376040</v>
      </c>
    </row>
    <row r="99" spans="1:7" x14ac:dyDescent="0.25">
      <c r="A99" s="16" t="str">
        <f t="shared" si="22"/>
        <v>PUERTA RF30 1800X2000</v>
      </c>
      <c r="B99" s="16" t="s">
        <v>36</v>
      </c>
      <c r="C99" s="15">
        <v>1800</v>
      </c>
      <c r="D99" s="15">
        <v>2000</v>
      </c>
      <c r="E99" s="15">
        <f t="shared" si="20"/>
        <v>1900</v>
      </c>
      <c r="F99" s="15">
        <f t="shared" si="21"/>
        <v>2050</v>
      </c>
      <c r="G99" s="15">
        <v>402270</v>
      </c>
    </row>
    <row r="100" spans="1:7" x14ac:dyDescent="0.25">
      <c r="A100" s="16" t="str">
        <f t="shared" si="22"/>
        <v>PUERTA RF30 1900X2000</v>
      </c>
      <c r="B100" s="16" t="s">
        <v>36</v>
      </c>
      <c r="C100" s="15">
        <v>1900</v>
      </c>
      <c r="D100" s="15">
        <v>2000</v>
      </c>
      <c r="E100" s="15">
        <f t="shared" si="20"/>
        <v>2000</v>
      </c>
      <c r="F100" s="15">
        <f t="shared" si="21"/>
        <v>2050</v>
      </c>
      <c r="G100" s="15">
        <v>430430</v>
      </c>
    </row>
    <row r="101" spans="1:7" x14ac:dyDescent="0.25">
      <c r="A101" s="16" t="str">
        <f t="shared" si="22"/>
        <v>PUERTA RF30 2000X2000</v>
      </c>
      <c r="B101" s="16" t="s">
        <v>36</v>
      </c>
      <c r="C101" s="15">
        <v>2000</v>
      </c>
      <c r="D101" s="15">
        <v>2000</v>
      </c>
      <c r="E101" s="15">
        <f>SUM($C101,100)</f>
        <v>2100</v>
      </c>
      <c r="F101" s="15">
        <f>SUM($D101,50)</f>
        <v>2050</v>
      </c>
      <c r="G101" s="15">
        <v>460620</v>
      </c>
    </row>
    <row r="102" spans="1:7" x14ac:dyDescent="0.25">
      <c r="A102" s="16" t="str">
        <f t="shared" si="22"/>
        <v>PUERTA RF30 2100X2000</v>
      </c>
      <c r="B102" s="16" t="s">
        <v>36</v>
      </c>
      <c r="C102" s="15">
        <v>2100</v>
      </c>
      <c r="D102" s="15">
        <v>2000</v>
      </c>
      <c r="E102" s="15">
        <f>SUM($C102,100)</f>
        <v>2200</v>
      </c>
      <c r="F102" s="15">
        <f>SUM($D102,50)</f>
        <v>2050</v>
      </c>
      <c r="G102" s="15">
        <v>492780</v>
      </c>
    </row>
    <row r="103" spans="1:7" x14ac:dyDescent="0.25">
      <c r="A103" s="16" t="str">
        <f t="shared" si="22"/>
        <v>PUERTA RF30 2200X2000</v>
      </c>
      <c r="B103" s="16" t="s">
        <v>36</v>
      </c>
      <c r="C103" s="15">
        <v>2200</v>
      </c>
      <c r="D103" s="15">
        <v>2000</v>
      </c>
      <c r="E103" s="15">
        <f>SUM($C103,100)</f>
        <v>2300</v>
      </c>
      <c r="F103" s="15">
        <f t="shared" ref="F103" si="23">SUM($D103,50)</f>
        <v>2050</v>
      </c>
      <c r="G103" s="15">
        <v>517470</v>
      </c>
    </row>
    <row r="104" spans="1:7" x14ac:dyDescent="0.25">
      <c r="A104" s="16" t="str">
        <f>CONCATENATE("PUERTA ",$B104," ",$C104,"X",$D104)</f>
        <v>PUERTA RF30 600X2100</v>
      </c>
      <c r="B104" s="16" t="s">
        <v>36</v>
      </c>
      <c r="C104" s="21">
        <v>600</v>
      </c>
      <c r="D104" s="21">
        <v>2100</v>
      </c>
      <c r="E104" s="21">
        <v>800</v>
      </c>
      <c r="F104" s="21">
        <v>2050</v>
      </c>
      <c r="G104" s="15">
        <v>224840</v>
      </c>
    </row>
    <row r="105" spans="1:7" x14ac:dyDescent="0.25">
      <c r="A105" s="16" t="str">
        <f>CONCATENATE("PUERTA ",$B105," ",$C105,"X",$D105)</f>
        <v>PUERTA RF30 700X2100</v>
      </c>
      <c r="B105" s="16" t="s">
        <v>36</v>
      </c>
      <c r="C105" s="15">
        <v>700</v>
      </c>
      <c r="D105" s="21">
        <v>2100</v>
      </c>
      <c r="E105" s="15">
        <f t="shared" ref="E105:E117" si="24">SUM($C105,100)</f>
        <v>800</v>
      </c>
      <c r="F105" s="15">
        <f t="shared" ref="F105:F117" si="25">SUM($D105,50)</f>
        <v>2150</v>
      </c>
      <c r="G105" s="15">
        <v>224840</v>
      </c>
    </row>
    <row r="106" spans="1:7" x14ac:dyDescent="0.25">
      <c r="A106" s="16" t="str">
        <f t="shared" ref="A106:A120" si="26">CONCATENATE("PUERTA ",$B106," ",$C106,"X",$D106)</f>
        <v>PUERTA RF30 800X2100</v>
      </c>
      <c r="B106" s="16" t="s">
        <v>36</v>
      </c>
      <c r="C106" s="15">
        <v>800</v>
      </c>
      <c r="D106" s="21">
        <v>2100</v>
      </c>
      <c r="E106" s="15">
        <f t="shared" si="24"/>
        <v>900</v>
      </c>
      <c r="F106" s="15">
        <f t="shared" si="25"/>
        <v>2150</v>
      </c>
      <c r="G106" s="15">
        <v>224840</v>
      </c>
    </row>
    <row r="107" spans="1:7" x14ac:dyDescent="0.25">
      <c r="A107" s="16" t="str">
        <f t="shared" si="26"/>
        <v>PUERTA RF30 900X2100</v>
      </c>
      <c r="B107" s="16" t="s">
        <v>36</v>
      </c>
      <c r="C107" s="15">
        <v>900</v>
      </c>
      <c r="D107" s="21">
        <v>2100</v>
      </c>
      <c r="E107" s="15">
        <f t="shared" si="24"/>
        <v>1000</v>
      </c>
      <c r="F107" s="15">
        <f t="shared" si="25"/>
        <v>2150</v>
      </c>
      <c r="G107" s="15">
        <v>235070</v>
      </c>
    </row>
    <row r="108" spans="1:7" x14ac:dyDescent="0.25">
      <c r="A108" s="16" t="str">
        <f t="shared" si="26"/>
        <v>PUERTA RF30 1000X2100</v>
      </c>
      <c r="B108" s="16" t="s">
        <v>36</v>
      </c>
      <c r="C108" s="15">
        <v>1000</v>
      </c>
      <c r="D108" s="21">
        <v>2100</v>
      </c>
      <c r="E108" s="15">
        <f t="shared" si="24"/>
        <v>1100</v>
      </c>
      <c r="F108" s="15">
        <f t="shared" si="25"/>
        <v>2150</v>
      </c>
      <c r="G108" s="15">
        <v>250870</v>
      </c>
    </row>
    <row r="109" spans="1:7" x14ac:dyDescent="0.25">
      <c r="A109" s="16" t="str">
        <f t="shared" si="26"/>
        <v>PUERTA RF30 1100X2100</v>
      </c>
      <c r="B109" s="16" t="s">
        <v>36</v>
      </c>
      <c r="C109" s="15">
        <v>1100</v>
      </c>
      <c r="D109" s="21">
        <v>2100</v>
      </c>
      <c r="E109" s="15">
        <f t="shared" si="24"/>
        <v>1200</v>
      </c>
      <c r="F109" s="15">
        <f t="shared" si="25"/>
        <v>2150</v>
      </c>
      <c r="G109" s="15">
        <v>268400</v>
      </c>
    </row>
    <row r="110" spans="1:7" x14ac:dyDescent="0.25">
      <c r="A110" s="16" t="str">
        <f t="shared" si="26"/>
        <v>PUERTA RF30 1200X2100</v>
      </c>
      <c r="B110" s="16" t="s">
        <v>36</v>
      </c>
      <c r="C110" s="15">
        <v>1200</v>
      </c>
      <c r="D110" s="21">
        <v>2100</v>
      </c>
      <c r="E110" s="15">
        <f t="shared" si="24"/>
        <v>1300</v>
      </c>
      <c r="F110" s="15">
        <f t="shared" si="25"/>
        <v>2150</v>
      </c>
      <c r="G110" s="15">
        <v>300570</v>
      </c>
    </row>
    <row r="111" spans="1:7" x14ac:dyDescent="0.25">
      <c r="A111" s="16" t="str">
        <f t="shared" si="26"/>
        <v>PUERTA RF30 1300X2100</v>
      </c>
      <c r="B111" s="16" t="s">
        <v>36</v>
      </c>
      <c r="C111" s="15">
        <v>1300</v>
      </c>
      <c r="D111" s="21">
        <v>2100</v>
      </c>
      <c r="E111" s="15">
        <f t="shared" si="24"/>
        <v>1400</v>
      </c>
      <c r="F111" s="15">
        <f t="shared" si="25"/>
        <v>2150</v>
      </c>
      <c r="G111" s="15">
        <v>318310</v>
      </c>
    </row>
    <row r="112" spans="1:7" x14ac:dyDescent="0.25">
      <c r="A112" s="16" t="str">
        <f t="shared" si="26"/>
        <v>PUERTA RF30 1400X2100</v>
      </c>
      <c r="B112" s="16" t="s">
        <v>36</v>
      </c>
      <c r="C112" s="15">
        <v>1400</v>
      </c>
      <c r="D112" s="21">
        <v>2100</v>
      </c>
      <c r="E112" s="15">
        <f t="shared" si="24"/>
        <v>1500</v>
      </c>
      <c r="F112" s="15">
        <f t="shared" si="25"/>
        <v>2150</v>
      </c>
      <c r="G112" s="15">
        <v>337880</v>
      </c>
    </row>
    <row r="113" spans="1:7" x14ac:dyDescent="0.25">
      <c r="A113" s="16" t="str">
        <f t="shared" si="26"/>
        <v>PUERTA RF30 1500X2100</v>
      </c>
      <c r="B113" s="16" t="s">
        <v>36</v>
      </c>
      <c r="C113" s="15">
        <v>1500</v>
      </c>
      <c r="D113" s="21">
        <v>2100</v>
      </c>
      <c r="E113" s="15">
        <f t="shared" si="24"/>
        <v>1600</v>
      </c>
      <c r="F113" s="15">
        <f t="shared" si="25"/>
        <v>2150</v>
      </c>
      <c r="G113" s="15">
        <v>361310</v>
      </c>
    </row>
    <row r="114" spans="1:7" x14ac:dyDescent="0.25">
      <c r="A114" s="16" t="str">
        <f t="shared" si="26"/>
        <v>PUERTA RF30 1600X2100</v>
      </c>
      <c r="B114" s="16" t="s">
        <v>36</v>
      </c>
      <c r="C114" s="15">
        <v>1600</v>
      </c>
      <c r="D114" s="21">
        <v>2100</v>
      </c>
      <c r="E114" s="15">
        <f t="shared" si="24"/>
        <v>1700</v>
      </c>
      <c r="F114" s="15">
        <f t="shared" si="25"/>
        <v>2150</v>
      </c>
      <c r="G114" s="15">
        <v>386540</v>
      </c>
    </row>
    <row r="115" spans="1:7" x14ac:dyDescent="0.25">
      <c r="A115" s="16" t="str">
        <f t="shared" si="26"/>
        <v>PUERTA RF30 1700X2100</v>
      </c>
      <c r="B115" s="16" t="s">
        <v>36</v>
      </c>
      <c r="C115" s="15">
        <v>1700</v>
      </c>
      <c r="D115" s="21">
        <v>2100</v>
      </c>
      <c r="E115" s="15">
        <f t="shared" si="24"/>
        <v>1800</v>
      </c>
      <c r="F115" s="15">
        <f t="shared" si="25"/>
        <v>2150</v>
      </c>
      <c r="G115" s="15">
        <v>413630</v>
      </c>
    </row>
    <row r="116" spans="1:7" x14ac:dyDescent="0.25">
      <c r="A116" s="16" t="str">
        <f t="shared" si="26"/>
        <v>PUERTA RF30 1800X2100</v>
      </c>
      <c r="B116" s="16" t="s">
        <v>36</v>
      </c>
      <c r="C116" s="15">
        <v>1800</v>
      </c>
      <c r="D116" s="21">
        <v>2100</v>
      </c>
      <c r="E116" s="15">
        <f t="shared" si="24"/>
        <v>1900</v>
      </c>
      <c r="F116" s="15">
        <f t="shared" si="25"/>
        <v>2150</v>
      </c>
      <c r="G116" s="15">
        <v>442490</v>
      </c>
    </row>
    <row r="117" spans="1:7" x14ac:dyDescent="0.25">
      <c r="A117" s="16" t="str">
        <f t="shared" si="26"/>
        <v>PUERTA RF30 1900X2100</v>
      </c>
      <c r="B117" s="16" t="s">
        <v>36</v>
      </c>
      <c r="C117" s="15">
        <v>1900</v>
      </c>
      <c r="D117" s="21">
        <v>2100</v>
      </c>
      <c r="E117" s="15">
        <f t="shared" si="24"/>
        <v>2000</v>
      </c>
      <c r="F117" s="15">
        <f t="shared" si="25"/>
        <v>2150</v>
      </c>
      <c r="G117" s="15">
        <v>473470</v>
      </c>
    </row>
    <row r="118" spans="1:7" x14ac:dyDescent="0.25">
      <c r="A118" s="16" t="str">
        <f t="shared" si="26"/>
        <v>PUERTA RF30 2000X2100</v>
      </c>
      <c r="B118" s="16" t="s">
        <v>36</v>
      </c>
      <c r="C118" s="15">
        <v>2000</v>
      </c>
      <c r="D118" s="21">
        <v>2100</v>
      </c>
      <c r="E118" s="15">
        <f>SUM($C118,100)</f>
        <v>2100</v>
      </c>
      <c r="F118" s="15">
        <f>SUM($D118,50)</f>
        <v>2150</v>
      </c>
      <c r="G118" s="15">
        <v>506680</v>
      </c>
    </row>
    <row r="119" spans="1:7" x14ac:dyDescent="0.25">
      <c r="A119" s="16" t="str">
        <f t="shared" si="26"/>
        <v>PUERTA RF30 2100X2100</v>
      </c>
      <c r="B119" s="16" t="s">
        <v>36</v>
      </c>
      <c r="C119" s="15">
        <v>2100</v>
      </c>
      <c r="D119" s="21">
        <v>2100</v>
      </c>
      <c r="E119" s="15">
        <f>SUM($C119,100)</f>
        <v>2200</v>
      </c>
      <c r="F119" s="15">
        <f>SUM($D119,50)</f>
        <v>2150</v>
      </c>
      <c r="G119" s="15">
        <v>542100</v>
      </c>
    </row>
    <row r="120" spans="1:7" x14ac:dyDescent="0.25">
      <c r="A120" s="16" t="str">
        <f t="shared" si="26"/>
        <v>PUERTA RF30 2200X2100</v>
      </c>
      <c r="B120" s="16" t="s">
        <v>36</v>
      </c>
      <c r="C120" s="15">
        <v>2200</v>
      </c>
      <c r="D120" s="21">
        <v>2100</v>
      </c>
      <c r="E120" s="15">
        <f>SUM($C120,100)</f>
        <v>2300</v>
      </c>
      <c r="F120" s="15">
        <f t="shared" ref="F120" si="27">SUM($D120,50)</f>
        <v>2150</v>
      </c>
      <c r="G120" s="15">
        <v>569180</v>
      </c>
    </row>
    <row r="121" spans="1:7" x14ac:dyDescent="0.25">
      <c r="A121" s="16" t="str">
        <f>CONCATENATE("PUERTA ",$B121," ",$C121,"X",$D121)</f>
        <v>PUERTA RF30 600X2200</v>
      </c>
      <c r="B121" s="16" t="s">
        <v>36</v>
      </c>
      <c r="C121" s="21">
        <v>600</v>
      </c>
      <c r="D121" s="21">
        <v>2200</v>
      </c>
      <c r="E121" s="21">
        <v>800</v>
      </c>
      <c r="F121" s="21">
        <v>2050</v>
      </c>
      <c r="G121" s="15">
        <v>245340</v>
      </c>
    </row>
    <row r="122" spans="1:7" x14ac:dyDescent="0.25">
      <c r="A122" s="16" t="str">
        <f>CONCATENATE("PUERTA ",$B122," ",$C122,"X",$D122)</f>
        <v>PUERTA RF30 700X2200</v>
      </c>
      <c r="B122" s="16" t="s">
        <v>36</v>
      </c>
      <c r="C122" s="15">
        <v>700</v>
      </c>
      <c r="D122" s="21">
        <v>2200</v>
      </c>
      <c r="E122" s="15">
        <f t="shared" ref="E122:E134" si="28">SUM($C122,100)</f>
        <v>800</v>
      </c>
      <c r="F122" s="15">
        <f t="shared" ref="F122:F134" si="29">SUM($D122,50)</f>
        <v>2250</v>
      </c>
      <c r="G122" s="15">
        <v>245340</v>
      </c>
    </row>
    <row r="123" spans="1:7" x14ac:dyDescent="0.25">
      <c r="A123" s="16" t="str">
        <f t="shared" ref="A123:A137" si="30">CONCATENATE("PUERTA ",$B123," ",$C123,"X",$D123)</f>
        <v>PUERTA RF30 800X2200</v>
      </c>
      <c r="B123" s="16" t="s">
        <v>36</v>
      </c>
      <c r="C123" s="15">
        <v>800</v>
      </c>
      <c r="D123" s="21">
        <v>2200</v>
      </c>
      <c r="E123" s="15">
        <f t="shared" si="28"/>
        <v>900</v>
      </c>
      <c r="F123" s="15">
        <f t="shared" si="29"/>
        <v>2250</v>
      </c>
      <c r="G123" s="15">
        <v>245340</v>
      </c>
    </row>
    <row r="124" spans="1:7" x14ac:dyDescent="0.25">
      <c r="A124" s="16" t="str">
        <f t="shared" si="30"/>
        <v>PUERTA RF30 900X2200</v>
      </c>
      <c r="B124" s="16" t="s">
        <v>36</v>
      </c>
      <c r="C124" s="15">
        <v>900</v>
      </c>
      <c r="D124" s="21">
        <v>2200</v>
      </c>
      <c r="E124" s="15">
        <f t="shared" si="28"/>
        <v>1000</v>
      </c>
      <c r="F124" s="15">
        <f t="shared" si="29"/>
        <v>2250</v>
      </c>
      <c r="G124" s="15">
        <v>256400</v>
      </c>
    </row>
    <row r="125" spans="1:7" x14ac:dyDescent="0.25">
      <c r="A125" s="16" t="str">
        <f t="shared" si="30"/>
        <v>PUERTA RF30 1000X2200</v>
      </c>
      <c r="B125" s="16" t="s">
        <v>36</v>
      </c>
      <c r="C125" s="15">
        <v>1000</v>
      </c>
      <c r="D125" s="21">
        <v>2200</v>
      </c>
      <c r="E125" s="15">
        <f t="shared" si="28"/>
        <v>1100</v>
      </c>
      <c r="F125" s="15">
        <f t="shared" si="29"/>
        <v>2250</v>
      </c>
      <c r="G125" s="15">
        <v>273680</v>
      </c>
    </row>
    <row r="126" spans="1:7" x14ac:dyDescent="0.25">
      <c r="A126" s="16" t="str">
        <f t="shared" si="30"/>
        <v>PUERTA RF30 1100X2200</v>
      </c>
      <c r="B126" s="16" t="s">
        <v>36</v>
      </c>
      <c r="C126" s="15">
        <v>1100</v>
      </c>
      <c r="D126" s="21">
        <v>2200</v>
      </c>
      <c r="E126" s="15">
        <f t="shared" si="28"/>
        <v>1200</v>
      </c>
      <c r="F126" s="15">
        <f t="shared" si="29"/>
        <v>2250</v>
      </c>
      <c r="G126" s="15">
        <v>292840</v>
      </c>
    </row>
    <row r="127" spans="1:7" x14ac:dyDescent="0.25">
      <c r="A127" s="16" t="str">
        <f t="shared" si="30"/>
        <v>PUERTA RF30 1200X2200</v>
      </c>
      <c r="B127" s="16" t="s">
        <v>36</v>
      </c>
      <c r="C127" s="15">
        <v>1200</v>
      </c>
      <c r="D127" s="21">
        <v>2200</v>
      </c>
      <c r="E127" s="15">
        <f t="shared" si="28"/>
        <v>1300</v>
      </c>
      <c r="F127" s="15">
        <f t="shared" si="29"/>
        <v>2250</v>
      </c>
      <c r="G127" s="15">
        <v>327830</v>
      </c>
    </row>
    <row r="128" spans="1:7" x14ac:dyDescent="0.25">
      <c r="A128" s="16" t="str">
        <f t="shared" si="30"/>
        <v>PUERTA RF30 1300X2200</v>
      </c>
      <c r="B128" s="16" t="s">
        <v>36</v>
      </c>
      <c r="C128" s="15">
        <v>1300</v>
      </c>
      <c r="D128" s="21">
        <v>2200</v>
      </c>
      <c r="E128" s="15">
        <f t="shared" si="28"/>
        <v>1400</v>
      </c>
      <c r="F128" s="15">
        <f t="shared" si="29"/>
        <v>2250</v>
      </c>
      <c r="G128" s="15">
        <v>347200</v>
      </c>
    </row>
    <row r="129" spans="1:7" x14ac:dyDescent="0.25">
      <c r="A129" s="16" t="str">
        <f t="shared" si="30"/>
        <v>PUERTA RF30 1400X2200</v>
      </c>
      <c r="B129" s="16" t="s">
        <v>36</v>
      </c>
      <c r="C129" s="15">
        <v>1400</v>
      </c>
      <c r="D129" s="21">
        <v>2200</v>
      </c>
      <c r="E129" s="15">
        <f t="shared" si="28"/>
        <v>1500</v>
      </c>
      <c r="F129" s="15">
        <f t="shared" si="29"/>
        <v>2250</v>
      </c>
      <c r="G129" s="15">
        <v>368590</v>
      </c>
    </row>
    <row r="130" spans="1:7" x14ac:dyDescent="0.25">
      <c r="A130" s="16" t="str">
        <f t="shared" si="30"/>
        <v>PUERTA RF30 1500X2200</v>
      </c>
      <c r="B130" s="16" t="s">
        <v>36</v>
      </c>
      <c r="C130" s="15">
        <v>1500</v>
      </c>
      <c r="D130" s="21">
        <v>2200</v>
      </c>
      <c r="E130" s="15">
        <f t="shared" si="28"/>
        <v>1600</v>
      </c>
      <c r="F130" s="15">
        <f t="shared" si="29"/>
        <v>2250</v>
      </c>
      <c r="G130" s="15">
        <v>394080</v>
      </c>
    </row>
    <row r="131" spans="1:7" x14ac:dyDescent="0.25">
      <c r="A131" s="16" t="str">
        <f t="shared" si="30"/>
        <v>PUERTA RF30 1600X2200</v>
      </c>
      <c r="B131" s="16" t="s">
        <v>36</v>
      </c>
      <c r="C131" s="15">
        <v>1600</v>
      </c>
      <c r="D131" s="21">
        <v>2200</v>
      </c>
      <c r="E131" s="15">
        <f t="shared" si="28"/>
        <v>1700</v>
      </c>
      <c r="F131" s="15">
        <f t="shared" si="29"/>
        <v>2250</v>
      </c>
      <c r="G131" s="15">
        <v>421640</v>
      </c>
    </row>
    <row r="132" spans="1:7" x14ac:dyDescent="0.25">
      <c r="A132" s="16" t="str">
        <f t="shared" si="30"/>
        <v>PUERTA RF30 1700X2200</v>
      </c>
      <c r="B132" s="16" t="s">
        <v>36</v>
      </c>
      <c r="C132" s="15">
        <v>1700</v>
      </c>
      <c r="D132" s="21">
        <v>2200</v>
      </c>
      <c r="E132" s="15">
        <f t="shared" si="28"/>
        <v>1800</v>
      </c>
      <c r="F132" s="15">
        <f t="shared" si="29"/>
        <v>2250</v>
      </c>
      <c r="G132" s="15">
        <v>451180</v>
      </c>
    </row>
    <row r="133" spans="1:7" x14ac:dyDescent="0.25">
      <c r="A133" s="16" t="str">
        <f t="shared" si="30"/>
        <v>PUERTA RF30 1800X2200</v>
      </c>
      <c r="B133" s="16" t="s">
        <v>36</v>
      </c>
      <c r="C133" s="15">
        <v>1800</v>
      </c>
      <c r="D133" s="21">
        <v>2200</v>
      </c>
      <c r="E133" s="15">
        <f t="shared" si="28"/>
        <v>1900</v>
      </c>
      <c r="F133" s="15">
        <f t="shared" si="29"/>
        <v>2250</v>
      </c>
      <c r="G133" s="15">
        <v>482820</v>
      </c>
    </row>
    <row r="134" spans="1:7" x14ac:dyDescent="0.25">
      <c r="A134" s="16" t="str">
        <f t="shared" si="30"/>
        <v>PUERTA RF30 1900X2200</v>
      </c>
      <c r="B134" s="16" t="s">
        <v>36</v>
      </c>
      <c r="C134" s="15">
        <v>1900</v>
      </c>
      <c r="D134" s="21">
        <v>2200</v>
      </c>
      <c r="E134" s="15">
        <f t="shared" si="28"/>
        <v>2000</v>
      </c>
      <c r="F134" s="15">
        <f t="shared" si="29"/>
        <v>2250</v>
      </c>
      <c r="G134" s="15">
        <v>516530</v>
      </c>
    </row>
    <row r="135" spans="1:7" x14ac:dyDescent="0.25">
      <c r="A135" s="16" t="str">
        <f t="shared" si="30"/>
        <v>PUERTA RF30 2000X2200</v>
      </c>
      <c r="B135" s="16" t="s">
        <v>36</v>
      </c>
      <c r="C135" s="15">
        <v>2000</v>
      </c>
      <c r="D135" s="21">
        <v>2200</v>
      </c>
      <c r="E135" s="15">
        <f>SUM($C135,100)</f>
        <v>2100</v>
      </c>
      <c r="F135" s="15">
        <f>SUM($D135,50)</f>
        <v>2250</v>
      </c>
      <c r="G135" s="15">
        <v>552730</v>
      </c>
    </row>
    <row r="136" spans="1:7" x14ac:dyDescent="0.25">
      <c r="A136" s="16" t="str">
        <f t="shared" si="30"/>
        <v>PUERTA RF30 2100X2200</v>
      </c>
      <c r="B136" s="16" t="s">
        <v>36</v>
      </c>
      <c r="C136" s="15">
        <v>2100</v>
      </c>
      <c r="D136" s="21">
        <v>2200</v>
      </c>
      <c r="E136" s="15">
        <f>SUM($C136,100)</f>
        <v>2200</v>
      </c>
      <c r="F136" s="15">
        <f>SUM($D136,50)</f>
        <v>2250</v>
      </c>
      <c r="G136" s="15">
        <v>591380</v>
      </c>
    </row>
    <row r="137" spans="1:7" x14ac:dyDescent="0.25">
      <c r="A137" s="16" t="str">
        <f t="shared" si="30"/>
        <v>PUERTA RF30 2200X2200</v>
      </c>
      <c r="B137" s="16" t="s">
        <v>36</v>
      </c>
      <c r="C137" s="15">
        <v>2200</v>
      </c>
      <c r="D137" s="21">
        <v>2200</v>
      </c>
      <c r="E137" s="15">
        <f>SUM($C137,100)</f>
        <v>2300</v>
      </c>
      <c r="F137" s="15">
        <f t="shared" ref="F137" si="31">SUM($D137,50)</f>
        <v>2250</v>
      </c>
      <c r="G137" s="15">
        <v>620960</v>
      </c>
    </row>
    <row r="138" spans="1:7" x14ac:dyDescent="0.25">
      <c r="A138" s="16" t="str">
        <f>CONCATENATE("PUERTA ",$B138," ",$C138,"X",$D138)</f>
        <v>PUERTA RF30 600X2300</v>
      </c>
      <c r="B138" s="16" t="s">
        <v>36</v>
      </c>
      <c r="C138" s="21">
        <v>600</v>
      </c>
      <c r="D138" s="21">
        <v>2300</v>
      </c>
      <c r="E138" s="21">
        <v>800</v>
      </c>
      <c r="F138" s="21">
        <v>2050</v>
      </c>
      <c r="G138" s="15">
        <v>265770</v>
      </c>
    </row>
    <row r="139" spans="1:7" x14ac:dyDescent="0.25">
      <c r="A139" s="16" t="str">
        <f>CONCATENATE("PUERTA ",$B139," ",$C139,"X",$D139)</f>
        <v>PUERTA RF30 700X2300</v>
      </c>
      <c r="B139" s="16" t="s">
        <v>36</v>
      </c>
      <c r="C139" s="15">
        <v>700</v>
      </c>
      <c r="D139" s="21">
        <v>2300</v>
      </c>
      <c r="E139" s="15">
        <f t="shared" ref="E139:E151" si="32">SUM($C139,100)</f>
        <v>800</v>
      </c>
      <c r="F139" s="15">
        <f t="shared" ref="F139:F151" si="33">SUM($D139,50)</f>
        <v>2350</v>
      </c>
      <c r="G139" s="15">
        <v>265770</v>
      </c>
    </row>
    <row r="140" spans="1:7" x14ac:dyDescent="0.25">
      <c r="A140" s="16" t="str">
        <f t="shared" ref="A140:A154" si="34">CONCATENATE("PUERTA ",$B140," ",$C140,"X",$D140)</f>
        <v>PUERTA RF30 800X2300</v>
      </c>
      <c r="B140" s="16" t="s">
        <v>36</v>
      </c>
      <c r="C140" s="15">
        <v>800</v>
      </c>
      <c r="D140" s="21">
        <v>2300</v>
      </c>
      <c r="E140" s="15">
        <f t="shared" si="32"/>
        <v>900</v>
      </c>
      <c r="F140" s="15">
        <f t="shared" si="33"/>
        <v>2350</v>
      </c>
      <c r="G140" s="15">
        <v>265770</v>
      </c>
    </row>
    <row r="141" spans="1:7" x14ac:dyDescent="0.25">
      <c r="A141" s="16" t="str">
        <f t="shared" si="34"/>
        <v>PUERTA RF30 900X2300</v>
      </c>
      <c r="B141" s="16" t="s">
        <v>36</v>
      </c>
      <c r="C141" s="15">
        <v>900</v>
      </c>
      <c r="D141" s="21">
        <v>2300</v>
      </c>
      <c r="E141" s="15">
        <f t="shared" si="32"/>
        <v>1000</v>
      </c>
      <c r="F141" s="15">
        <f t="shared" si="33"/>
        <v>2350</v>
      </c>
      <c r="G141" s="15">
        <v>277840</v>
      </c>
    </row>
    <row r="142" spans="1:7" x14ac:dyDescent="0.25">
      <c r="A142" s="16" t="str">
        <f t="shared" si="34"/>
        <v>PUERTA RF30 1000X2300</v>
      </c>
      <c r="B142" s="16" t="s">
        <v>36</v>
      </c>
      <c r="C142" s="15">
        <v>1000</v>
      </c>
      <c r="D142" s="21">
        <v>2300</v>
      </c>
      <c r="E142" s="15">
        <f t="shared" si="32"/>
        <v>1100</v>
      </c>
      <c r="F142" s="15">
        <f t="shared" si="33"/>
        <v>2350</v>
      </c>
      <c r="G142" s="15">
        <v>296490</v>
      </c>
    </row>
    <row r="143" spans="1:7" x14ac:dyDescent="0.25">
      <c r="A143" s="16" t="str">
        <f t="shared" si="34"/>
        <v>PUERTA RF30 1100X2300</v>
      </c>
      <c r="B143" s="16" t="s">
        <v>36</v>
      </c>
      <c r="C143" s="15">
        <v>1100</v>
      </c>
      <c r="D143" s="21">
        <v>2300</v>
      </c>
      <c r="E143" s="15">
        <f t="shared" si="32"/>
        <v>1200</v>
      </c>
      <c r="F143" s="15">
        <f t="shared" si="33"/>
        <v>2350</v>
      </c>
      <c r="G143" s="15">
        <v>317200</v>
      </c>
    </row>
    <row r="144" spans="1:7" x14ac:dyDescent="0.25">
      <c r="A144" s="16" t="str">
        <f t="shared" si="34"/>
        <v>PUERTA RF30 1200X2300</v>
      </c>
      <c r="B144" s="16" t="s">
        <v>36</v>
      </c>
      <c r="C144" s="15">
        <v>1200</v>
      </c>
      <c r="D144" s="21">
        <v>2300</v>
      </c>
      <c r="E144" s="15">
        <f t="shared" si="32"/>
        <v>1300</v>
      </c>
      <c r="F144" s="15">
        <f t="shared" si="33"/>
        <v>2350</v>
      </c>
      <c r="G144" s="15">
        <v>355170</v>
      </c>
    </row>
    <row r="145" spans="1:7" x14ac:dyDescent="0.25">
      <c r="A145" s="16" t="str">
        <f t="shared" si="34"/>
        <v>PUERTA RF30 1300X2300</v>
      </c>
      <c r="B145" s="16" t="s">
        <v>36</v>
      </c>
      <c r="C145" s="15">
        <v>1300</v>
      </c>
      <c r="D145" s="21">
        <v>2300</v>
      </c>
      <c r="E145" s="15">
        <f t="shared" si="32"/>
        <v>1400</v>
      </c>
      <c r="F145" s="15">
        <f t="shared" si="33"/>
        <v>2350</v>
      </c>
      <c r="G145" s="15">
        <v>376190</v>
      </c>
    </row>
    <row r="146" spans="1:7" x14ac:dyDescent="0.25">
      <c r="A146" s="16" t="str">
        <f t="shared" si="34"/>
        <v>PUERTA RF30 1400X2300</v>
      </c>
      <c r="B146" s="16" t="s">
        <v>36</v>
      </c>
      <c r="C146" s="15">
        <v>1400</v>
      </c>
      <c r="D146" s="21">
        <v>2300</v>
      </c>
      <c r="E146" s="15">
        <f t="shared" si="32"/>
        <v>1500</v>
      </c>
      <c r="F146" s="15">
        <f t="shared" si="33"/>
        <v>2350</v>
      </c>
      <c r="G146" s="15">
        <v>399260</v>
      </c>
    </row>
    <row r="147" spans="1:7" x14ac:dyDescent="0.25">
      <c r="A147" s="16" t="str">
        <f t="shared" si="34"/>
        <v>PUERTA RF30 1500X2300</v>
      </c>
      <c r="B147" s="16" t="s">
        <v>36</v>
      </c>
      <c r="C147" s="15">
        <v>1500</v>
      </c>
      <c r="D147" s="21">
        <v>2300</v>
      </c>
      <c r="E147" s="15">
        <f t="shared" si="32"/>
        <v>1600</v>
      </c>
      <c r="F147" s="15">
        <f t="shared" si="33"/>
        <v>2350</v>
      </c>
      <c r="G147" s="15">
        <v>426970</v>
      </c>
    </row>
    <row r="148" spans="1:7" x14ac:dyDescent="0.25">
      <c r="A148" s="16" t="str">
        <f t="shared" si="34"/>
        <v>PUERTA RF30 1600X2300</v>
      </c>
      <c r="B148" s="16" t="s">
        <v>36</v>
      </c>
      <c r="C148" s="15">
        <v>1600</v>
      </c>
      <c r="D148" s="21">
        <v>2300</v>
      </c>
      <c r="E148" s="15">
        <f t="shared" si="32"/>
        <v>1700</v>
      </c>
      <c r="F148" s="15">
        <f t="shared" si="33"/>
        <v>2350</v>
      </c>
      <c r="G148" s="15">
        <v>456850</v>
      </c>
    </row>
    <row r="149" spans="1:7" x14ac:dyDescent="0.25">
      <c r="A149" s="16" t="str">
        <f t="shared" si="34"/>
        <v>PUERTA RF30 1700X2300</v>
      </c>
      <c r="B149" s="16" t="s">
        <v>36</v>
      </c>
      <c r="C149" s="15">
        <v>1700</v>
      </c>
      <c r="D149" s="21">
        <v>2300</v>
      </c>
      <c r="E149" s="15">
        <f t="shared" si="32"/>
        <v>1800</v>
      </c>
      <c r="F149" s="15">
        <f t="shared" si="33"/>
        <v>2350</v>
      </c>
      <c r="G149" s="15">
        <v>488750</v>
      </c>
    </row>
    <row r="150" spans="1:7" x14ac:dyDescent="0.25">
      <c r="A150" s="16" t="str">
        <f t="shared" si="34"/>
        <v>PUERTA RF30 1800X2300</v>
      </c>
      <c r="B150" s="16" t="s">
        <v>36</v>
      </c>
      <c r="C150" s="15">
        <v>1800</v>
      </c>
      <c r="D150" s="21">
        <v>2300</v>
      </c>
      <c r="E150" s="15">
        <f t="shared" si="32"/>
        <v>1900</v>
      </c>
      <c r="F150" s="15">
        <f t="shared" si="33"/>
        <v>2350</v>
      </c>
      <c r="G150" s="15">
        <v>522930</v>
      </c>
    </row>
    <row r="151" spans="1:7" x14ac:dyDescent="0.25">
      <c r="A151" s="16" t="str">
        <f t="shared" si="34"/>
        <v>PUERTA RF30 1900X2300</v>
      </c>
      <c r="B151" s="16" t="s">
        <v>36</v>
      </c>
      <c r="C151" s="15">
        <v>1900</v>
      </c>
      <c r="D151" s="21">
        <v>2300</v>
      </c>
      <c r="E151" s="15">
        <f t="shared" si="32"/>
        <v>2000</v>
      </c>
      <c r="F151" s="15">
        <f t="shared" si="33"/>
        <v>2350</v>
      </c>
      <c r="G151" s="15">
        <v>559560</v>
      </c>
    </row>
    <row r="152" spans="1:7" x14ac:dyDescent="0.25">
      <c r="A152" s="16" t="str">
        <f t="shared" si="34"/>
        <v>PUERTA RF30 2000X2300</v>
      </c>
      <c r="B152" s="16" t="s">
        <v>36</v>
      </c>
      <c r="C152" s="15">
        <v>2000</v>
      </c>
      <c r="D152" s="21">
        <v>2300</v>
      </c>
      <c r="E152" s="15">
        <f>SUM($C152,100)</f>
        <v>2100</v>
      </c>
      <c r="F152" s="15">
        <f>SUM($D152,50)</f>
        <v>2350</v>
      </c>
      <c r="G152" s="15">
        <v>598850</v>
      </c>
    </row>
    <row r="153" spans="1:7" x14ac:dyDescent="0.25">
      <c r="A153" s="16" t="str">
        <f t="shared" si="34"/>
        <v>PUERTA RF30 2100X2300</v>
      </c>
      <c r="B153" s="16" t="s">
        <v>36</v>
      </c>
      <c r="C153" s="15">
        <v>2100</v>
      </c>
      <c r="D153" s="21">
        <v>2300</v>
      </c>
      <c r="E153" s="15">
        <f>SUM($C153,100)</f>
        <v>2200</v>
      </c>
      <c r="F153" s="15">
        <f>SUM($D153,50)</f>
        <v>2350</v>
      </c>
      <c r="G153" s="15">
        <v>640640</v>
      </c>
    </row>
    <row r="154" spans="1:7" x14ac:dyDescent="0.25">
      <c r="A154" s="16" t="str">
        <f t="shared" si="34"/>
        <v>PUERTA RF30 2200X2300</v>
      </c>
      <c r="B154" s="16" t="s">
        <v>36</v>
      </c>
      <c r="C154" s="15">
        <v>2200</v>
      </c>
      <c r="D154" s="21">
        <v>2300</v>
      </c>
      <c r="E154" s="15">
        <f>SUM($C154,100)</f>
        <v>2300</v>
      </c>
      <c r="F154" s="15">
        <f t="shared" ref="F154" si="35">SUM($D154,50)</f>
        <v>2350</v>
      </c>
      <c r="G154" s="15">
        <v>672690</v>
      </c>
    </row>
    <row r="155" spans="1:7" x14ac:dyDescent="0.25">
      <c r="A155" s="16" t="str">
        <f>CONCATENATE("PUERTA ",$B155," ",$C155,"X",$D155)</f>
        <v>PUERTA RF30 600X2400</v>
      </c>
      <c r="B155" s="16" t="s">
        <v>36</v>
      </c>
      <c r="C155" s="21">
        <v>600</v>
      </c>
      <c r="D155" s="21">
        <v>2400</v>
      </c>
      <c r="E155" s="21">
        <v>800</v>
      </c>
      <c r="F155" s="21">
        <v>2050</v>
      </c>
      <c r="G155" s="15">
        <v>286220</v>
      </c>
    </row>
    <row r="156" spans="1:7" x14ac:dyDescent="0.25">
      <c r="A156" s="16" t="str">
        <f>CONCATENATE("PUERTA ",$B156," ",$C156,"X",$D156)</f>
        <v>PUERTA RF30 700X2400</v>
      </c>
      <c r="B156" s="16" t="s">
        <v>36</v>
      </c>
      <c r="C156" s="15">
        <v>700</v>
      </c>
      <c r="D156" s="21">
        <v>2400</v>
      </c>
      <c r="E156" s="15">
        <f t="shared" ref="E156:E168" si="36">SUM($C156,100)</f>
        <v>800</v>
      </c>
      <c r="F156" s="15">
        <f t="shared" ref="F156:F168" si="37">SUM($D156,50)</f>
        <v>2450</v>
      </c>
      <c r="G156" s="15">
        <v>286220</v>
      </c>
    </row>
    <row r="157" spans="1:7" x14ac:dyDescent="0.25">
      <c r="A157" s="16" t="str">
        <f t="shared" ref="A157:A171" si="38">CONCATENATE("PUERTA ",$B157," ",$C157,"X",$D157)</f>
        <v>PUERTA RF30 800X2400</v>
      </c>
      <c r="B157" s="16" t="s">
        <v>36</v>
      </c>
      <c r="C157" s="15">
        <v>800</v>
      </c>
      <c r="D157" s="21">
        <v>2400</v>
      </c>
      <c r="E157" s="15">
        <f t="shared" si="36"/>
        <v>900</v>
      </c>
      <c r="F157" s="15">
        <f t="shared" si="37"/>
        <v>2450</v>
      </c>
      <c r="G157" s="15">
        <v>286220</v>
      </c>
    </row>
    <row r="158" spans="1:7" x14ac:dyDescent="0.25">
      <c r="A158" s="16" t="str">
        <f t="shared" si="38"/>
        <v>PUERTA RF30 900X2400</v>
      </c>
      <c r="B158" s="16" t="s">
        <v>36</v>
      </c>
      <c r="C158" s="15">
        <v>900</v>
      </c>
      <c r="D158" s="21">
        <v>2400</v>
      </c>
      <c r="E158" s="15">
        <f t="shared" si="36"/>
        <v>1000</v>
      </c>
      <c r="F158" s="15">
        <f t="shared" si="37"/>
        <v>2450</v>
      </c>
      <c r="G158" s="15">
        <v>299200</v>
      </c>
    </row>
    <row r="159" spans="1:7" x14ac:dyDescent="0.25">
      <c r="A159" s="16" t="str">
        <f t="shared" si="38"/>
        <v>PUERTA RF30 1000X2400</v>
      </c>
      <c r="B159" s="16" t="s">
        <v>36</v>
      </c>
      <c r="C159" s="15">
        <v>1000</v>
      </c>
      <c r="D159" s="21">
        <v>2400</v>
      </c>
      <c r="E159" s="15">
        <f t="shared" si="36"/>
        <v>1100</v>
      </c>
      <c r="F159" s="15">
        <f t="shared" si="37"/>
        <v>2450</v>
      </c>
      <c r="G159" s="15">
        <v>319250</v>
      </c>
    </row>
    <row r="160" spans="1:7" x14ac:dyDescent="0.25">
      <c r="A160" s="16" t="str">
        <f t="shared" si="38"/>
        <v>PUERTA RF30 1100X2400</v>
      </c>
      <c r="B160" s="16" t="s">
        <v>36</v>
      </c>
      <c r="C160" s="15">
        <v>1100</v>
      </c>
      <c r="D160" s="21">
        <v>2400</v>
      </c>
      <c r="E160" s="15">
        <f t="shared" si="36"/>
        <v>1200</v>
      </c>
      <c r="F160" s="15">
        <f t="shared" si="37"/>
        <v>2450</v>
      </c>
      <c r="G160" s="15">
        <v>341580</v>
      </c>
    </row>
    <row r="161" spans="1:7" x14ac:dyDescent="0.25">
      <c r="A161" s="16" t="str">
        <f t="shared" si="38"/>
        <v>PUERTA RF30 1200X2400</v>
      </c>
      <c r="B161" s="16" t="s">
        <v>36</v>
      </c>
      <c r="C161" s="15">
        <v>1200</v>
      </c>
      <c r="D161" s="21">
        <v>2400</v>
      </c>
      <c r="E161" s="15">
        <f t="shared" si="36"/>
        <v>1300</v>
      </c>
      <c r="F161" s="15">
        <f t="shared" si="37"/>
        <v>2450</v>
      </c>
      <c r="G161" s="15">
        <v>382500</v>
      </c>
    </row>
    <row r="162" spans="1:7" x14ac:dyDescent="0.25">
      <c r="A162" s="16" t="str">
        <f t="shared" si="38"/>
        <v>PUERTA RF30 1300X2400</v>
      </c>
      <c r="B162" s="16" t="s">
        <v>36</v>
      </c>
      <c r="C162" s="15">
        <v>1300</v>
      </c>
      <c r="D162" s="21">
        <v>2400</v>
      </c>
      <c r="E162" s="15">
        <f t="shared" si="36"/>
        <v>1400</v>
      </c>
      <c r="F162" s="15">
        <f t="shared" si="37"/>
        <v>2450</v>
      </c>
      <c r="G162" s="15">
        <v>405130</v>
      </c>
    </row>
    <row r="163" spans="1:7" x14ac:dyDescent="0.25">
      <c r="A163" s="16" t="str">
        <f t="shared" si="38"/>
        <v>PUERTA RF30 1400X2400</v>
      </c>
      <c r="B163" s="16" t="s">
        <v>36</v>
      </c>
      <c r="C163" s="15">
        <v>1400</v>
      </c>
      <c r="D163" s="21">
        <v>2400</v>
      </c>
      <c r="E163" s="15">
        <f t="shared" si="36"/>
        <v>1500</v>
      </c>
      <c r="F163" s="15">
        <f t="shared" si="37"/>
        <v>2450</v>
      </c>
      <c r="G163" s="15">
        <v>429980</v>
      </c>
    </row>
    <row r="164" spans="1:7" x14ac:dyDescent="0.25">
      <c r="A164" s="16" t="str">
        <f t="shared" si="38"/>
        <v>PUERTA RF30 1500X2400</v>
      </c>
      <c r="B164" s="16" t="s">
        <v>36</v>
      </c>
      <c r="C164" s="15">
        <v>1500</v>
      </c>
      <c r="D164" s="21">
        <v>2400</v>
      </c>
      <c r="E164" s="15">
        <f t="shared" si="36"/>
        <v>1600</v>
      </c>
      <c r="F164" s="15">
        <f t="shared" si="37"/>
        <v>2450</v>
      </c>
      <c r="G164" s="15">
        <v>459780</v>
      </c>
    </row>
    <row r="165" spans="1:7" x14ac:dyDescent="0.25">
      <c r="A165" s="16" t="str">
        <f t="shared" si="38"/>
        <v>PUERTA RF30 1600X2400</v>
      </c>
      <c r="B165" s="16" t="s">
        <v>36</v>
      </c>
      <c r="C165" s="15">
        <v>1600</v>
      </c>
      <c r="D165" s="21">
        <v>2400</v>
      </c>
      <c r="E165" s="15">
        <f t="shared" si="36"/>
        <v>1700</v>
      </c>
      <c r="F165" s="15">
        <f t="shared" si="37"/>
        <v>2450</v>
      </c>
      <c r="G165" s="15">
        <v>491960</v>
      </c>
    </row>
    <row r="166" spans="1:7" x14ac:dyDescent="0.25">
      <c r="A166" s="16" t="str">
        <f t="shared" si="38"/>
        <v>PUERTA RF30 1700X2400</v>
      </c>
      <c r="B166" s="16" t="s">
        <v>36</v>
      </c>
      <c r="C166" s="15">
        <v>1700</v>
      </c>
      <c r="D166" s="21">
        <v>2400</v>
      </c>
      <c r="E166" s="15">
        <f t="shared" si="36"/>
        <v>1800</v>
      </c>
      <c r="F166" s="15">
        <f t="shared" si="37"/>
        <v>2450</v>
      </c>
      <c r="G166" s="15">
        <v>526360</v>
      </c>
    </row>
    <row r="167" spans="1:7" x14ac:dyDescent="0.25">
      <c r="A167" s="16" t="str">
        <f t="shared" si="38"/>
        <v>PUERTA RF30 1800X2400</v>
      </c>
      <c r="B167" s="16" t="s">
        <v>36</v>
      </c>
      <c r="C167" s="15">
        <v>1800</v>
      </c>
      <c r="D167" s="21">
        <v>2400</v>
      </c>
      <c r="E167" s="15">
        <f t="shared" si="36"/>
        <v>1900</v>
      </c>
      <c r="F167" s="15">
        <f t="shared" si="37"/>
        <v>2450</v>
      </c>
      <c r="G167" s="15">
        <v>563240</v>
      </c>
    </row>
    <row r="168" spans="1:7" x14ac:dyDescent="0.25">
      <c r="A168" s="16" t="str">
        <f t="shared" si="38"/>
        <v>PUERTA RF30 1900X2400</v>
      </c>
      <c r="B168" s="16" t="s">
        <v>36</v>
      </c>
      <c r="C168" s="15">
        <v>1900</v>
      </c>
      <c r="D168" s="21">
        <v>2400</v>
      </c>
      <c r="E168" s="15">
        <f t="shared" si="36"/>
        <v>2000</v>
      </c>
      <c r="F168" s="15">
        <f t="shared" si="37"/>
        <v>2450</v>
      </c>
      <c r="G168" s="15">
        <v>602630</v>
      </c>
    </row>
    <row r="169" spans="1:7" x14ac:dyDescent="0.25">
      <c r="A169" s="16" t="str">
        <f t="shared" si="38"/>
        <v>PUERTA RF30 2000X2400</v>
      </c>
      <c r="B169" s="16" t="s">
        <v>36</v>
      </c>
      <c r="C169" s="15">
        <v>2000</v>
      </c>
      <c r="D169" s="21">
        <v>2400</v>
      </c>
      <c r="E169" s="15">
        <f>SUM($C169,100)</f>
        <v>2100</v>
      </c>
      <c r="F169" s="15">
        <f>SUM($D169,50)</f>
        <v>2450</v>
      </c>
      <c r="G169" s="15">
        <v>644920</v>
      </c>
    </row>
    <row r="170" spans="1:7" x14ac:dyDescent="0.25">
      <c r="A170" s="16" t="str">
        <f t="shared" si="38"/>
        <v>PUERTA RF30 2100X2400</v>
      </c>
      <c r="B170" s="16" t="s">
        <v>36</v>
      </c>
      <c r="C170" s="15">
        <v>2100</v>
      </c>
      <c r="D170" s="21">
        <v>2400</v>
      </c>
      <c r="E170" s="15">
        <f>SUM($C170,100)</f>
        <v>2200</v>
      </c>
      <c r="F170" s="15">
        <f>SUM($D170,50)</f>
        <v>2450</v>
      </c>
      <c r="G170" s="15">
        <v>689860</v>
      </c>
    </row>
    <row r="171" spans="1:7" x14ac:dyDescent="0.25">
      <c r="A171" s="16" t="str">
        <f t="shared" si="38"/>
        <v>PUERTA RF30 2200X2400</v>
      </c>
      <c r="B171" s="16" t="s">
        <v>36</v>
      </c>
      <c r="C171" s="15">
        <v>2200</v>
      </c>
      <c r="D171" s="21">
        <v>2400</v>
      </c>
      <c r="E171" s="15">
        <f>SUM($C171,100)</f>
        <v>2300</v>
      </c>
      <c r="F171" s="15">
        <f t="shared" ref="F171" si="39">SUM($D171,50)</f>
        <v>2450</v>
      </c>
      <c r="G171" s="15">
        <v>724450</v>
      </c>
    </row>
    <row r="172" spans="1:7" x14ac:dyDescent="0.25">
      <c r="A172" s="16" t="str">
        <f>CONCATENATE("PUERTA ",$B172," ",$C172,"X",$D172)</f>
        <v>PUERTA RF60 600X2000</v>
      </c>
      <c r="B172" s="16" t="s">
        <v>38</v>
      </c>
      <c r="C172" s="21">
        <v>600</v>
      </c>
      <c r="D172" s="21">
        <v>2000</v>
      </c>
      <c r="E172" s="21">
        <v>800</v>
      </c>
      <c r="F172" s="21">
        <v>2050</v>
      </c>
      <c r="G172" s="15">
        <v>204320</v>
      </c>
    </row>
    <row r="173" spans="1:7" x14ac:dyDescent="0.25">
      <c r="A173" s="16" t="str">
        <f>CONCATENATE("PUERTA ",$B173," ",$C173,"X",$D173)</f>
        <v>PUERTA RF60 700X2000</v>
      </c>
      <c r="B173" s="16" t="s">
        <v>38</v>
      </c>
      <c r="C173" s="15">
        <v>700</v>
      </c>
      <c r="D173" s="15">
        <v>2000</v>
      </c>
      <c r="E173" s="15">
        <f t="shared" ref="E173:E185" si="40">SUM($C173,100)</f>
        <v>800</v>
      </c>
      <c r="F173" s="15">
        <f t="shared" ref="F173:F185" si="41">SUM($D173,50)</f>
        <v>2050</v>
      </c>
      <c r="G173" s="15">
        <v>204320</v>
      </c>
    </row>
    <row r="174" spans="1:7" x14ac:dyDescent="0.25">
      <c r="A174" s="16" t="str">
        <f t="shared" ref="A174:A188" si="42">CONCATENATE("PUERTA ",$B174," ",$C174,"X",$D174)</f>
        <v>PUERTA RF60 800X2000</v>
      </c>
      <c r="B174" s="16" t="s">
        <v>38</v>
      </c>
      <c r="C174" s="15">
        <v>800</v>
      </c>
      <c r="D174" s="15">
        <v>2000</v>
      </c>
      <c r="E174" s="15">
        <f t="shared" si="40"/>
        <v>900</v>
      </c>
      <c r="F174" s="15">
        <f t="shared" si="41"/>
        <v>2050</v>
      </c>
      <c r="G174" s="15">
        <v>204320</v>
      </c>
    </row>
    <row r="175" spans="1:7" x14ac:dyDescent="0.25">
      <c r="A175" s="16" t="str">
        <f t="shared" si="42"/>
        <v>PUERTA RF60 900X2000</v>
      </c>
      <c r="B175" s="16" t="s">
        <v>38</v>
      </c>
      <c r="C175" s="15">
        <v>900</v>
      </c>
      <c r="D175" s="15">
        <v>2000</v>
      </c>
      <c r="E175" s="15">
        <f t="shared" si="40"/>
        <v>1000</v>
      </c>
      <c r="F175" s="15">
        <f t="shared" si="41"/>
        <v>2050</v>
      </c>
      <c r="G175" s="15">
        <v>215960</v>
      </c>
    </row>
    <row r="176" spans="1:7" x14ac:dyDescent="0.25">
      <c r="A176" s="16" t="str">
        <f t="shared" si="42"/>
        <v>PUERTA RF60 1000X2000</v>
      </c>
      <c r="B176" s="16" t="s">
        <v>38</v>
      </c>
      <c r="C176" s="15">
        <v>1000</v>
      </c>
      <c r="D176" s="15">
        <v>2000</v>
      </c>
      <c r="E176" s="15">
        <f t="shared" si="40"/>
        <v>1100</v>
      </c>
      <c r="F176" s="15">
        <f t="shared" si="41"/>
        <v>2050</v>
      </c>
      <c r="G176" s="15">
        <v>231130</v>
      </c>
    </row>
    <row r="177" spans="1:7" x14ac:dyDescent="0.25">
      <c r="A177" s="16" t="str">
        <f t="shared" si="42"/>
        <v>PUERTA RF60 1100X2000</v>
      </c>
      <c r="B177" s="16" t="s">
        <v>38</v>
      </c>
      <c r="C177" s="15">
        <v>1100</v>
      </c>
      <c r="D177" s="15">
        <v>2000</v>
      </c>
      <c r="E177" s="15">
        <f t="shared" si="40"/>
        <v>1200</v>
      </c>
      <c r="F177" s="15">
        <f t="shared" si="41"/>
        <v>2050</v>
      </c>
      <c r="G177" s="15">
        <v>247270</v>
      </c>
    </row>
    <row r="178" spans="1:7" x14ac:dyDescent="0.25">
      <c r="A178" s="16" t="str">
        <f t="shared" si="42"/>
        <v>PUERTA RF60 1200X2000</v>
      </c>
      <c r="B178" s="16" t="s">
        <v>38</v>
      </c>
      <c r="C178" s="15">
        <v>1200</v>
      </c>
      <c r="D178" s="15">
        <v>2000</v>
      </c>
      <c r="E178" s="15">
        <f t="shared" si="40"/>
        <v>1300</v>
      </c>
      <c r="F178" s="15">
        <f t="shared" si="41"/>
        <v>2050</v>
      </c>
      <c r="G178" s="15">
        <v>282070</v>
      </c>
    </row>
    <row r="179" spans="1:7" x14ac:dyDescent="0.25">
      <c r="A179" s="16" t="str">
        <f t="shared" si="42"/>
        <v>PUERTA RF60 1300X2000</v>
      </c>
      <c r="B179" s="16" t="s">
        <v>38</v>
      </c>
      <c r="C179" s="15">
        <v>1300</v>
      </c>
      <c r="D179" s="15">
        <v>2000</v>
      </c>
      <c r="E179" s="15">
        <f t="shared" si="40"/>
        <v>1400</v>
      </c>
      <c r="F179" s="15">
        <f t="shared" si="41"/>
        <v>2050</v>
      </c>
      <c r="G179" s="15">
        <v>301820</v>
      </c>
    </row>
    <row r="180" spans="1:7" x14ac:dyDescent="0.25">
      <c r="A180" s="16" t="str">
        <f t="shared" si="42"/>
        <v>PUERTA RF60 1400X2000</v>
      </c>
      <c r="B180" s="16" t="s">
        <v>38</v>
      </c>
      <c r="C180" s="15">
        <v>1400</v>
      </c>
      <c r="D180" s="15">
        <v>2000</v>
      </c>
      <c r="E180" s="15">
        <f t="shared" si="40"/>
        <v>1500</v>
      </c>
      <c r="F180" s="15">
        <f t="shared" si="41"/>
        <v>2050</v>
      </c>
      <c r="G180" s="15">
        <v>322890</v>
      </c>
    </row>
    <row r="181" spans="1:7" x14ac:dyDescent="0.25">
      <c r="A181" s="16" t="str">
        <f t="shared" si="42"/>
        <v>PUERTA RF60 1500X2000</v>
      </c>
      <c r="B181" s="16" t="s">
        <v>38</v>
      </c>
      <c r="C181" s="15">
        <v>1500</v>
      </c>
      <c r="D181" s="15">
        <v>2000</v>
      </c>
      <c r="E181" s="15">
        <f t="shared" si="40"/>
        <v>1600</v>
      </c>
      <c r="F181" s="15">
        <f t="shared" si="41"/>
        <v>2050</v>
      </c>
      <c r="G181" s="15">
        <v>345590</v>
      </c>
    </row>
    <row r="182" spans="1:7" x14ac:dyDescent="0.25">
      <c r="A182" s="16" t="str">
        <f t="shared" si="42"/>
        <v>PUERTA RF60 1600X2000</v>
      </c>
      <c r="B182" s="16" t="s">
        <v>38</v>
      </c>
      <c r="C182" s="15">
        <v>1600</v>
      </c>
      <c r="D182" s="15">
        <v>2000</v>
      </c>
      <c r="E182" s="15">
        <f t="shared" si="40"/>
        <v>1700</v>
      </c>
      <c r="F182" s="15">
        <f t="shared" si="41"/>
        <v>2050</v>
      </c>
      <c r="G182" s="15">
        <v>369760</v>
      </c>
    </row>
    <row r="183" spans="1:7" x14ac:dyDescent="0.25">
      <c r="A183" s="16" t="str">
        <f t="shared" si="42"/>
        <v>PUERTA RF60 1700X2000</v>
      </c>
      <c r="B183" s="16" t="s">
        <v>38</v>
      </c>
      <c r="C183" s="15">
        <v>1700</v>
      </c>
      <c r="D183" s="15">
        <v>2000</v>
      </c>
      <c r="E183" s="15">
        <f t="shared" si="40"/>
        <v>1800</v>
      </c>
      <c r="F183" s="15">
        <f t="shared" si="41"/>
        <v>2050</v>
      </c>
      <c r="G183" s="15">
        <v>395710</v>
      </c>
    </row>
    <row r="184" spans="1:7" x14ac:dyDescent="0.25">
      <c r="A184" s="16" t="str">
        <f t="shared" si="42"/>
        <v>PUERTA RF60 1800X2000</v>
      </c>
      <c r="B184" s="16" t="s">
        <v>38</v>
      </c>
      <c r="C184" s="15">
        <v>1800</v>
      </c>
      <c r="D184" s="15">
        <v>2000</v>
      </c>
      <c r="E184" s="15">
        <f t="shared" si="40"/>
        <v>1900</v>
      </c>
      <c r="F184" s="15">
        <f t="shared" si="41"/>
        <v>2050</v>
      </c>
      <c r="G184" s="15">
        <v>423310</v>
      </c>
    </row>
    <row r="185" spans="1:7" x14ac:dyDescent="0.25">
      <c r="A185" s="16" t="str">
        <f t="shared" si="42"/>
        <v>PUERTA RF60 1900X2000</v>
      </c>
      <c r="B185" s="16" t="s">
        <v>38</v>
      </c>
      <c r="C185" s="15">
        <v>1900</v>
      </c>
      <c r="D185" s="15">
        <v>2000</v>
      </c>
      <c r="E185" s="15">
        <f t="shared" si="40"/>
        <v>2000</v>
      </c>
      <c r="F185" s="15">
        <f t="shared" si="41"/>
        <v>2050</v>
      </c>
      <c r="G185" s="15">
        <v>453040</v>
      </c>
    </row>
    <row r="186" spans="1:7" x14ac:dyDescent="0.25">
      <c r="A186" s="16" t="str">
        <f t="shared" si="42"/>
        <v>PUERTA RF60 2000X2000</v>
      </c>
      <c r="B186" s="16" t="s">
        <v>38</v>
      </c>
      <c r="C186" s="15">
        <v>2000</v>
      </c>
      <c r="D186" s="15">
        <v>2000</v>
      </c>
      <c r="E186" s="15">
        <f>SUM($C186,100)</f>
        <v>2100</v>
      </c>
      <c r="F186" s="15">
        <f>SUM($D186,50)</f>
        <v>2050</v>
      </c>
      <c r="G186" s="15">
        <v>484860</v>
      </c>
    </row>
    <row r="187" spans="1:7" x14ac:dyDescent="0.25">
      <c r="A187" s="16" t="str">
        <f t="shared" si="42"/>
        <v>PUERTA RF60 2100X2000</v>
      </c>
      <c r="B187" s="16" t="s">
        <v>38</v>
      </c>
      <c r="C187" s="15">
        <v>2100</v>
      </c>
      <c r="D187" s="15">
        <v>2000</v>
      </c>
      <c r="E187" s="15">
        <f>SUM($C187,100)</f>
        <v>2200</v>
      </c>
      <c r="F187" s="15">
        <f>SUM($D187,50)</f>
        <v>2050</v>
      </c>
      <c r="G187" s="15">
        <v>518660</v>
      </c>
    </row>
    <row r="188" spans="1:7" x14ac:dyDescent="0.25">
      <c r="A188" s="16" t="str">
        <f t="shared" si="42"/>
        <v>PUERTA RF60 2200X2000</v>
      </c>
      <c r="B188" s="16" t="s">
        <v>38</v>
      </c>
      <c r="C188" s="15">
        <v>2200</v>
      </c>
      <c r="D188" s="15">
        <v>2000</v>
      </c>
      <c r="E188" s="15">
        <f>SUM($C188,100)</f>
        <v>2300</v>
      </c>
      <c r="F188" s="15">
        <f t="shared" ref="F188" si="43">SUM($D188,50)</f>
        <v>2050</v>
      </c>
      <c r="G188" s="15">
        <v>544620</v>
      </c>
    </row>
    <row r="189" spans="1:7" x14ac:dyDescent="0.25">
      <c r="A189" s="16" t="str">
        <f>CONCATENATE("PUERTA ",$B189," ",$C189,"X",$D189)</f>
        <v>PUERTA RF60 600X2100</v>
      </c>
      <c r="B189" s="16" t="s">
        <v>38</v>
      </c>
      <c r="C189" s="21">
        <v>600</v>
      </c>
      <c r="D189" s="21">
        <v>2100</v>
      </c>
      <c r="E189" s="21">
        <v>800</v>
      </c>
      <c r="F189" s="21">
        <v>2050</v>
      </c>
      <c r="G189" s="15">
        <v>231100</v>
      </c>
    </row>
    <row r="190" spans="1:7" x14ac:dyDescent="0.25">
      <c r="A190" s="16" t="str">
        <f>CONCATENATE("PUERTA ",$B190," ",$C190,"X",$D190)</f>
        <v>PUERTA RF60 700X2100</v>
      </c>
      <c r="B190" s="16" t="s">
        <v>38</v>
      </c>
      <c r="C190" s="15">
        <v>700</v>
      </c>
      <c r="D190" s="21">
        <v>2100</v>
      </c>
      <c r="E190" s="15">
        <f t="shared" ref="E190:E202" si="44">SUM($C190,100)</f>
        <v>800</v>
      </c>
      <c r="F190" s="15">
        <f t="shared" ref="F190:F202" si="45">SUM($D190,50)</f>
        <v>2150</v>
      </c>
      <c r="G190" s="15">
        <v>231100</v>
      </c>
    </row>
    <row r="191" spans="1:7" x14ac:dyDescent="0.25">
      <c r="A191" s="16" t="str">
        <f t="shared" ref="A191:A205" si="46">CONCATENATE("PUERTA ",$B191," ",$C191,"X",$D191)</f>
        <v>PUERTA RF60 800X2100</v>
      </c>
      <c r="B191" s="16" t="s">
        <v>38</v>
      </c>
      <c r="C191" s="15">
        <v>800</v>
      </c>
      <c r="D191" s="21">
        <v>2100</v>
      </c>
      <c r="E191" s="15">
        <f t="shared" si="44"/>
        <v>900</v>
      </c>
      <c r="F191" s="15">
        <f t="shared" si="45"/>
        <v>2150</v>
      </c>
      <c r="G191" s="15">
        <v>231100</v>
      </c>
    </row>
    <row r="192" spans="1:7" x14ac:dyDescent="0.25">
      <c r="A192" s="16" t="str">
        <f t="shared" si="46"/>
        <v>PUERTA RF60 900X2100</v>
      </c>
      <c r="B192" s="16" t="s">
        <v>38</v>
      </c>
      <c r="C192" s="15">
        <v>900</v>
      </c>
      <c r="D192" s="21">
        <v>2100</v>
      </c>
      <c r="E192" s="15">
        <f t="shared" si="44"/>
        <v>1000</v>
      </c>
      <c r="F192" s="15">
        <f t="shared" si="45"/>
        <v>2150</v>
      </c>
      <c r="G192" s="15">
        <v>244220</v>
      </c>
    </row>
    <row r="193" spans="1:7" x14ac:dyDescent="0.25">
      <c r="A193" s="16" t="str">
        <f t="shared" si="46"/>
        <v>PUERTA RF60 1000X2100</v>
      </c>
      <c r="B193" s="16" t="s">
        <v>38</v>
      </c>
      <c r="C193" s="15">
        <v>1000</v>
      </c>
      <c r="D193" s="21">
        <v>2100</v>
      </c>
      <c r="E193" s="15">
        <f t="shared" si="44"/>
        <v>1100</v>
      </c>
      <c r="F193" s="15">
        <f t="shared" si="45"/>
        <v>2150</v>
      </c>
      <c r="G193" s="15">
        <v>261310</v>
      </c>
    </row>
    <row r="194" spans="1:7" x14ac:dyDescent="0.25">
      <c r="A194" s="16" t="str">
        <f t="shared" si="46"/>
        <v>PUERTA RF60 1100X2100</v>
      </c>
      <c r="B194" s="16" t="s">
        <v>38</v>
      </c>
      <c r="C194" s="15">
        <v>1100</v>
      </c>
      <c r="D194" s="21">
        <v>2100</v>
      </c>
      <c r="E194" s="15">
        <f t="shared" si="44"/>
        <v>1200</v>
      </c>
      <c r="F194" s="15">
        <f t="shared" si="45"/>
        <v>2150</v>
      </c>
      <c r="G194" s="15">
        <v>279570</v>
      </c>
    </row>
    <row r="195" spans="1:7" x14ac:dyDescent="0.25">
      <c r="A195" s="16" t="str">
        <f t="shared" si="46"/>
        <v>PUERTA RF60 1200X2100</v>
      </c>
      <c r="B195" s="16" t="s">
        <v>38</v>
      </c>
      <c r="C195" s="15">
        <v>1200</v>
      </c>
      <c r="D195" s="21">
        <v>2100</v>
      </c>
      <c r="E195" s="15">
        <f t="shared" si="44"/>
        <v>1300</v>
      </c>
      <c r="F195" s="15">
        <f t="shared" si="45"/>
        <v>2150</v>
      </c>
      <c r="G195" s="15">
        <v>310320</v>
      </c>
    </row>
    <row r="196" spans="1:7" x14ac:dyDescent="0.25">
      <c r="A196" s="16" t="str">
        <f t="shared" si="46"/>
        <v>PUERTA RF60 1300X2100</v>
      </c>
      <c r="B196" s="16" t="s">
        <v>38</v>
      </c>
      <c r="C196" s="15">
        <v>1300</v>
      </c>
      <c r="D196" s="21">
        <v>2100</v>
      </c>
      <c r="E196" s="15">
        <f t="shared" si="44"/>
        <v>1400</v>
      </c>
      <c r="F196" s="15">
        <f t="shared" si="45"/>
        <v>2150</v>
      </c>
      <c r="G196" s="15">
        <v>332010</v>
      </c>
    </row>
    <row r="197" spans="1:7" x14ac:dyDescent="0.25">
      <c r="A197" s="16" t="str">
        <f t="shared" si="46"/>
        <v>PUERTA RF60 1400X2100</v>
      </c>
      <c r="B197" s="16" t="s">
        <v>38</v>
      </c>
      <c r="C197" s="15">
        <v>1400</v>
      </c>
      <c r="D197" s="21">
        <v>2100</v>
      </c>
      <c r="E197" s="15">
        <f t="shared" si="44"/>
        <v>1500</v>
      </c>
      <c r="F197" s="15">
        <f t="shared" si="45"/>
        <v>2150</v>
      </c>
      <c r="G197" s="15">
        <v>355230</v>
      </c>
    </row>
    <row r="198" spans="1:7" x14ac:dyDescent="0.25">
      <c r="A198" s="16" t="str">
        <f t="shared" si="46"/>
        <v>PUERTA RF60 1500X2100</v>
      </c>
      <c r="B198" s="16" t="s">
        <v>38</v>
      </c>
      <c r="C198" s="15">
        <v>1500</v>
      </c>
      <c r="D198" s="21">
        <v>2100</v>
      </c>
      <c r="E198" s="15">
        <f t="shared" si="44"/>
        <v>1600</v>
      </c>
      <c r="F198" s="15">
        <f t="shared" si="45"/>
        <v>2150</v>
      </c>
      <c r="G198" s="15">
        <v>380190</v>
      </c>
    </row>
    <row r="199" spans="1:7" x14ac:dyDescent="0.25">
      <c r="A199" s="16" t="str">
        <f t="shared" si="46"/>
        <v>PUERTA RF60 1600X2100</v>
      </c>
      <c r="B199" s="16" t="s">
        <v>38</v>
      </c>
      <c r="C199" s="15">
        <v>1600</v>
      </c>
      <c r="D199" s="21">
        <v>2100</v>
      </c>
      <c r="E199" s="15">
        <f t="shared" si="44"/>
        <v>1700</v>
      </c>
      <c r="F199" s="15">
        <f t="shared" si="45"/>
        <v>2150</v>
      </c>
      <c r="G199" s="15">
        <v>406730</v>
      </c>
    </row>
    <row r="200" spans="1:7" x14ac:dyDescent="0.25">
      <c r="A200" s="16" t="str">
        <f t="shared" si="46"/>
        <v>PUERTA RF60 1700X2100</v>
      </c>
      <c r="B200" s="16" t="s">
        <v>38</v>
      </c>
      <c r="C200" s="15">
        <v>1700</v>
      </c>
      <c r="D200" s="21">
        <v>2100</v>
      </c>
      <c r="E200" s="15">
        <f t="shared" si="44"/>
        <v>1800</v>
      </c>
      <c r="F200" s="15">
        <f t="shared" si="45"/>
        <v>2150</v>
      </c>
      <c r="G200" s="15">
        <v>435240</v>
      </c>
    </row>
    <row r="201" spans="1:7" x14ac:dyDescent="0.25">
      <c r="A201" s="16" t="str">
        <f t="shared" si="46"/>
        <v>PUERTA RF60 1800X2100</v>
      </c>
      <c r="B201" s="16" t="s">
        <v>38</v>
      </c>
      <c r="C201" s="15">
        <v>1800</v>
      </c>
      <c r="D201" s="21">
        <v>2100</v>
      </c>
      <c r="E201" s="15">
        <f t="shared" si="44"/>
        <v>1900</v>
      </c>
      <c r="F201" s="15">
        <f t="shared" si="45"/>
        <v>2150</v>
      </c>
      <c r="G201" s="15">
        <v>465620</v>
      </c>
    </row>
    <row r="202" spans="1:7" x14ac:dyDescent="0.25">
      <c r="A202" s="16" t="str">
        <f t="shared" si="46"/>
        <v>PUERTA RF60 1900X2100</v>
      </c>
      <c r="B202" s="16" t="s">
        <v>38</v>
      </c>
      <c r="C202" s="15">
        <v>1900</v>
      </c>
      <c r="D202" s="21">
        <v>2100</v>
      </c>
      <c r="E202" s="15">
        <f t="shared" si="44"/>
        <v>2000</v>
      </c>
      <c r="F202" s="15">
        <f t="shared" si="45"/>
        <v>2150</v>
      </c>
      <c r="G202" s="15">
        <v>498320</v>
      </c>
    </row>
    <row r="203" spans="1:7" x14ac:dyDescent="0.25">
      <c r="A203" s="16" t="str">
        <f t="shared" si="46"/>
        <v>PUERTA RF60 2000X2100</v>
      </c>
      <c r="B203" s="16" t="s">
        <v>38</v>
      </c>
      <c r="C203" s="15">
        <v>2000</v>
      </c>
      <c r="D203" s="21">
        <v>2100</v>
      </c>
      <c r="E203" s="15">
        <f>SUM($C203,100)</f>
        <v>2100</v>
      </c>
      <c r="F203" s="15">
        <f>SUM($D203,50)</f>
        <v>2150</v>
      </c>
      <c r="G203" s="15">
        <v>533290</v>
      </c>
    </row>
    <row r="204" spans="1:7" x14ac:dyDescent="0.25">
      <c r="A204" s="16" t="str">
        <f t="shared" si="46"/>
        <v>PUERTA RF60 2100X2100</v>
      </c>
      <c r="B204" s="16" t="s">
        <v>38</v>
      </c>
      <c r="C204" s="15">
        <v>2100</v>
      </c>
      <c r="D204" s="21">
        <v>2100</v>
      </c>
      <c r="E204" s="15">
        <f>SUM($C204,100)</f>
        <v>2200</v>
      </c>
      <c r="F204" s="15">
        <f>SUM($D204,50)</f>
        <v>2150</v>
      </c>
      <c r="G204" s="15">
        <v>570510</v>
      </c>
    </row>
    <row r="205" spans="1:7" x14ac:dyDescent="0.25">
      <c r="A205" s="16" t="str">
        <f t="shared" si="46"/>
        <v>PUERTA RF60 2200X2100</v>
      </c>
      <c r="B205" s="16" t="s">
        <v>38</v>
      </c>
      <c r="C205" s="15">
        <v>2200</v>
      </c>
      <c r="D205" s="21">
        <v>2100</v>
      </c>
      <c r="E205" s="15">
        <f>SUM($C205,100)</f>
        <v>2300</v>
      </c>
      <c r="F205" s="15">
        <f t="shared" ref="F205" si="47">SUM($D205,50)</f>
        <v>2150</v>
      </c>
      <c r="G205" s="15">
        <v>599050</v>
      </c>
    </row>
    <row r="206" spans="1:7" x14ac:dyDescent="0.25">
      <c r="A206" s="16" t="str">
        <f>CONCATENATE("PUERTA ",$B206," ",$C206,"X",$D206)</f>
        <v>PUERTA RF60 600X2200</v>
      </c>
      <c r="B206" s="16" t="s">
        <v>38</v>
      </c>
      <c r="C206" s="21">
        <v>600</v>
      </c>
      <c r="D206" s="21">
        <v>2200</v>
      </c>
      <c r="E206" s="21">
        <v>800</v>
      </c>
      <c r="F206" s="21">
        <v>2050</v>
      </c>
      <c r="G206" s="15">
        <v>252020</v>
      </c>
    </row>
    <row r="207" spans="1:7" x14ac:dyDescent="0.25">
      <c r="A207" s="16" t="str">
        <f>CONCATENATE("PUERTA ",$B207," ",$C207,"X",$D207)</f>
        <v>PUERTA RF60 700X2200</v>
      </c>
      <c r="B207" s="16" t="s">
        <v>38</v>
      </c>
      <c r="C207" s="15">
        <v>700</v>
      </c>
      <c r="D207" s="21">
        <v>2200</v>
      </c>
      <c r="E207" s="15">
        <f t="shared" ref="E207:E219" si="48">SUM($C207,100)</f>
        <v>800</v>
      </c>
      <c r="F207" s="15">
        <f t="shared" ref="F207:F219" si="49">SUM($D207,50)</f>
        <v>2250</v>
      </c>
      <c r="G207" s="15">
        <v>252020</v>
      </c>
    </row>
    <row r="208" spans="1:7" x14ac:dyDescent="0.25">
      <c r="A208" s="16" t="str">
        <f t="shared" ref="A208:A222" si="50">CONCATENATE("PUERTA ",$B208," ",$C208,"X",$D208)</f>
        <v>PUERTA RF60 800X2200</v>
      </c>
      <c r="B208" s="16" t="s">
        <v>38</v>
      </c>
      <c r="C208" s="15">
        <v>800</v>
      </c>
      <c r="D208" s="21">
        <v>2200</v>
      </c>
      <c r="E208" s="15">
        <f t="shared" si="48"/>
        <v>900</v>
      </c>
      <c r="F208" s="15">
        <f t="shared" si="49"/>
        <v>2250</v>
      </c>
      <c r="G208" s="15">
        <v>252020</v>
      </c>
    </row>
    <row r="209" spans="1:7" x14ac:dyDescent="0.25">
      <c r="A209" s="16" t="str">
        <f t="shared" si="50"/>
        <v>PUERTA RF60 900X2200</v>
      </c>
      <c r="B209" s="16" t="s">
        <v>38</v>
      </c>
      <c r="C209" s="15">
        <v>900</v>
      </c>
      <c r="D209" s="21">
        <v>2200</v>
      </c>
      <c r="E209" s="15">
        <f t="shared" si="48"/>
        <v>1000</v>
      </c>
      <c r="F209" s="15">
        <f t="shared" si="49"/>
        <v>2250</v>
      </c>
      <c r="G209" s="15">
        <v>266400</v>
      </c>
    </row>
    <row r="210" spans="1:7" x14ac:dyDescent="0.25">
      <c r="A210" s="16" t="str">
        <f t="shared" si="50"/>
        <v>PUERTA RF60 1000X2200</v>
      </c>
      <c r="B210" s="16" t="s">
        <v>38</v>
      </c>
      <c r="C210" s="15">
        <v>1000</v>
      </c>
      <c r="D210" s="21">
        <v>2200</v>
      </c>
      <c r="E210" s="15">
        <f t="shared" si="48"/>
        <v>1100</v>
      </c>
      <c r="F210" s="15">
        <f t="shared" si="49"/>
        <v>2250</v>
      </c>
      <c r="G210" s="15">
        <v>285170</v>
      </c>
    </row>
    <row r="211" spans="1:7" x14ac:dyDescent="0.25">
      <c r="A211" s="16" t="str">
        <f t="shared" si="50"/>
        <v>PUERTA RF60 1100X2200</v>
      </c>
      <c r="B211" s="16" t="s">
        <v>38</v>
      </c>
      <c r="C211" s="15">
        <v>1100</v>
      </c>
      <c r="D211" s="21">
        <v>2200</v>
      </c>
      <c r="E211" s="15">
        <f t="shared" si="48"/>
        <v>1200</v>
      </c>
      <c r="F211" s="15">
        <f t="shared" si="49"/>
        <v>2250</v>
      </c>
      <c r="G211" s="15">
        <v>305020</v>
      </c>
    </row>
    <row r="212" spans="1:7" x14ac:dyDescent="0.25">
      <c r="A212" s="16" t="str">
        <f t="shared" si="50"/>
        <v>PUERTA RF60 1200X2200</v>
      </c>
      <c r="B212" s="16" t="s">
        <v>38</v>
      </c>
      <c r="C212" s="15">
        <v>1200</v>
      </c>
      <c r="D212" s="21">
        <v>2200</v>
      </c>
      <c r="E212" s="15">
        <f t="shared" si="48"/>
        <v>1300</v>
      </c>
      <c r="F212" s="15">
        <f t="shared" si="49"/>
        <v>2250</v>
      </c>
      <c r="G212" s="15">
        <v>338570</v>
      </c>
    </row>
    <row r="213" spans="1:7" x14ac:dyDescent="0.25">
      <c r="A213" s="16" t="str">
        <f t="shared" si="50"/>
        <v>PUERTA RF60 1300X2200</v>
      </c>
      <c r="B213" s="16" t="s">
        <v>38</v>
      </c>
      <c r="C213" s="15">
        <v>1300</v>
      </c>
      <c r="D213" s="21">
        <v>2200</v>
      </c>
      <c r="E213" s="15">
        <f t="shared" si="48"/>
        <v>1400</v>
      </c>
      <c r="F213" s="15">
        <f t="shared" si="49"/>
        <v>2250</v>
      </c>
      <c r="G213" s="15">
        <v>362250</v>
      </c>
    </row>
    <row r="214" spans="1:7" x14ac:dyDescent="0.25">
      <c r="A214" s="16" t="str">
        <f t="shared" si="50"/>
        <v>PUERTA RF60 1400X2200</v>
      </c>
      <c r="B214" s="16" t="s">
        <v>38</v>
      </c>
      <c r="C214" s="15">
        <v>1400</v>
      </c>
      <c r="D214" s="21">
        <v>2200</v>
      </c>
      <c r="E214" s="15">
        <f t="shared" si="48"/>
        <v>1500</v>
      </c>
      <c r="F214" s="15">
        <f t="shared" si="49"/>
        <v>2250</v>
      </c>
      <c r="G214" s="15">
        <v>387500</v>
      </c>
    </row>
    <row r="215" spans="1:7" x14ac:dyDescent="0.25">
      <c r="A215" s="16" t="str">
        <f t="shared" si="50"/>
        <v>PUERTA RF60 1500X2200</v>
      </c>
      <c r="B215" s="16" t="s">
        <v>38</v>
      </c>
      <c r="C215" s="15">
        <v>1500</v>
      </c>
      <c r="D215" s="21">
        <v>2200</v>
      </c>
      <c r="E215" s="15">
        <f t="shared" si="48"/>
        <v>1600</v>
      </c>
      <c r="F215" s="15">
        <f t="shared" si="49"/>
        <v>2250</v>
      </c>
      <c r="G215" s="15">
        <v>414700</v>
      </c>
    </row>
    <row r="216" spans="1:7" x14ac:dyDescent="0.25">
      <c r="A216" s="16" t="str">
        <f t="shared" si="50"/>
        <v>PUERTA RF60 1600X2200</v>
      </c>
      <c r="B216" s="16" t="s">
        <v>38</v>
      </c>
      <c r="C216" s="15">
        <v>1600</v>
      </c>
      <c r="D216" s="21">
        <v>2200</v>
      </c>
      <c r="E216" s="15">
        <f t="shared" si="48"/>
        <v>1700</v>
      </c>
      <c r="F216" s="15">
        <f t="shared" si="49"/>
        <v>2250</v>
      </c>
      <c r="G216" s="15">
        <v>443610</v>
      </c>
    </row>
    <row r="217" spans="1:7" x14ac:dyDescent="0.25">
      <c r="A217" s="16" t="str">
        <f t="shared" si="50"/>
        <v>PUERTA RF60 1700X2200</v>
      </c>
      <c r="B217" s="16" t="s">
        <v>38</v>
      </c>
      <c r="C217" s="15">
        <v>1700</v>
      </c>
      <c r="D217" s="21">
        <v>2200</v>
      </c>
      <c r="E217" s="15">
        <f t="shared" si="48"/>
        <v>1800</v>
      </c>
      <c r="F217" s="15">
        <f t="shared" si="49"/>
        <v>2250</v>
      </c>
      <c r="G217" s="15">
        <v>474840</v>
      </c>
    </row>
    <row r="218" spans="1:7" x14ac:dyDescent="0.25">
      <c r="A218" s="16" t="str">
        <f t="shared" si="50"/>
        <v>PUERTA RF60 1800X2200</v>
      </c>
      <c r="B218" s="16" t="s">
        <v>38</v>
      </c>
      <c r="C218" s="15">
        <v>1800</v>
      </c>
      <c r="D218" s="21">
        <v>2200</v>
      </c>
      <c r="E218" s="15">
        <f t="shared" si="48"/>
        <v>1900</v>
      </c>
      <c r="F218" s="15">
        <f t="shared" si="49"/>
        <v>2250</v>
      </c>
      <c r="G218" s="15">
        <v>507990</v>
      </c>
    </row>
    <row r="219" spans="1:7" x14ac:dyDescent="0.25">
      <c r="A219" s="16" t="str">
        <f t="shared" si="50"/>
        <v>PUERTA RF60 1900X2200</v>
      </c>
      <c r="B219" s="16" t="s">
        <v>38</v>
      </c>
      <c r="C219" s="15">
        <v>1900</v>
      </c>
      <c r="D219" s="21">
        <v>2200</v>
      </c>
      <c r="E219" s="15">
        <f t="shared" si="48"/>
        <v>2000</v>
      </c>
      <c r="F219" s="15">
        <f t="shared" si="49"/>
        <v>2250</v>
      </c>
      <c r="G219" s="15">
        <v>543600</v>
      </c>
    </row>
    <row r="220" spans="1:7" x14ac:dyDescent="0.25">
      <c r="A220" s="16" t="str">
        <f t="shared" si="50"/>
        <v>PUERTA RF60 2000X2200</v>
      </c>
      <c r="B220" s="16" t="s">
        <v>38</v>
      </c>
      <c r="C220" s="15">
        <v>2000</v>
      </c>
      <c r="D220" s="21">
        <v>2200</v>
      </c>
      <c r="E220" s="15">
        <f>SUM($C220,100)</f>
        <v>2100</v>
      </c>
      <c r="F220" s="15">
        <f>SUM($D220,50)</f>
        <v>2250</v>
      </c>
      <c r="G220" s="15">
        <v>581700</v>
      </c>
    </row>
    <row r="221" spans="1:7" x14ac:dyDescent="0.25">
      <c r="A221" s="16" t="str">
        <f t="shared" si="50"/>
        <v>PUERTA RF60 2100X2200</v>
      </c>
      <c r="B221" s="16" t="s">
        <v>38</v>
      </c>
      <c r="C221" s="15">
        <v>2100</v>
      </c>
      <c r="D221" s="21">
        <v>2200</v>
      </c>
      <c r="E221" s="15">
        <f>SUM($C221,100)</f>
        <v>2200</v>
      </c>
      <c r="F221" s="15">
        <f>SUM($D221,50)</f>
        <v>2250</v>
      </c>
      <c r="G221" s="15">
        <v>622320</v>
      </c>
    </row>
    <row r="222" spans="1:7" x14ac:dyDescent="0.25">
      <c r="A222" s="16" t="str">
        <f t="shared" si="50"/>
        <v>PUERTA RF60 2200X2200</v>
      </c>
      <c r="B222" s="16" t="s">
        <v>38</v>
      </c>
      <c r="C222" s="15">
        <v>2200</v>
      </c>
      <c r="D222" s="21">
        <v>2200</v>
      </c>
      <c r="E222" s="15">
        <f>SUM($C222,100)</f>
        <v>2300</v>
      </c>
      <c r="F222" s="15">
        <f t="shared" ref="F222" si="51">SUM($D222,50)</f>
        <v>2250</v>
      </c>
      <c r="G222" s="15">
        <v>653450</v>
      </c>
    </row>
    <row r="223" spans="1:7" x14ac:dyDescent="0.25">
      <c r="A223" s="16" t="str">
        <f>CONCATENATE("PUERTA ",$B223," ",$C223,"X",$D223)</f>
        <v>PUERTA RF60 600X2300</v>
      </c>
      <c r="B223" s="16" t="s">
        <v>38</v>
      </c>
      <c r="C223" s="21">
        <v>600</v>
      </c>
      <c r="D223" s="21">
        <v>2300</v>
      </c>
      <c r="E223" s="21">
        <v>800</v>
      </c>
      <c r="F223" s="21">
        <v>2050</v>
      </c>
      <c r="G223" s="15">
        <v>273080</v>
      </c>
    </row>
    <row r="224" spans="1:7" x14ac:dyDescent="0.25">
      <c r="A224" s="16" t="str">
        <f>CONCATENATE("PUERTA ",$B224," ",$C224,"X",$D224)</f>
        <v>PUERTA RF60 700X2300</v>
      </c>
      <c r="B224" s="16" t="s">
        <v>38</v>
      </c>
      <c r="C224" s="15">
        <v>700</v>
      </c>
      <c r="D224" s="21">
        <v>2300</v>
      </c>
      <c r="E224" s="15">
        <f t="shared" ref="E224:E236" si="52">SUM($C224,100)</f>
        <v>800</v>
      </c>
      <c r="F224" s="15">
        <f t="shared" ref="F224:F236" si="53">SUM($D224,50)</f>
        <v>2350</v>
      </c>
      <c r="G224" s="15">
        <v>273080</v>
      </c>
    </row>
    <row r="225" spans="1:7" x14ac:dyDescent="0.25">
      <c r="A225" s="16" t="str">
        <f t="shared" ref="A225:A239" si="54">CONCATENATE("PUERTA ",$B225," ",$C225,"X",$D225)</f>
        <v>PUERTA RF60 800X2300</v>
      </c>
      <c r="B225" s="16" t="s">
        <v>38</v>
      </c>
      <c r="C225" s="15">
        <v>800</v>
      </c>
      <c r="D225" s="21">
        <v>2300</v>
      </c>
      <c r="E225" s="15">
        <f t="shared" si="52"/>
        <v>900</v>
      </c>
      <c r="F225" s="15">
        <f t="shared" si="53"/>
        <v>2350</v>
      </c>
      <c r="G225" s="15">
        <v>273080</v>
      </c>
    </row>
    <row r="226" spans="1:7" x14ac:dyDescent="0.25">
      <c r="A226" s="16" t="str">
        <f t="shared" si="54"/>
        <v>PUERTA RF60 900X2300</v>
      </c>
      <c r="B226" s="16" t="s">
        <v>38</v>
      </c>
      <c r="C226" s="15">
        <v>900</v>
      </c>
      <c r="D226" s="21">
        <v>2300</v>
      </c>
      <c r="E226" s="15">
        <f t="shared" si="52"/>
        <v>1000</v>
      </c>
      <c r="F226" s="15">
        <f t="shared" si="53"/>
        <v>2350</v>
      </c>
      <c r="G226" s="15">
        <v>288650</v>
      </c>
    </row>
    <row r="227" spans="1:7" x14ac:dyDescent="0.25">
      <c r="A227" s="16" t="str">
        <f t="shared" si="54"/>
        <v>PUERTA RF60 1000X2300</v>
      </c>
      <c r="B227" s="16" t="s">
        <v>38</v>
      </c>
      <c r="C227" s="15">
        <v>1000</v>
      </c>
      <c r="D227" s="21">
        <v>2300</v>
      </c>
      <c r="E227" s="15">
        <f t="shared" si="52"/>
        <v>1100</v>
      </c>
      <c r="F227" s="15">
        <f t="shared" si="53"/>
        <v>2350</v>
      </c>
      <c r="G227" s="15">
        <v>308840</v>
      </c>
    </row>
    <row r="228" spans="1:7" x14ac:dyDescent="0.25">
      <c r="A228" s="16" t="str">
        <f t="shared" si="54"/>
        <v>PUERTA RF60 1100X2300</v>
      </c>
      <c r="B228" s="16" t="s">
        <v>38</v>
      </c>
      <c r="C228" s="15">
        <v>1100</v>
      </c>
      <c r="D228" s="21">
        <v>2300</v>
      </c>
      <c r="E228" s="15">
        <f t="shared" si="52"/>
        <v>1200</v>
      </c>
      <c r="F228" s="15">
        <f t="shared" si="53"/>
        <v>2350</v>
      </c>
      <c r="G228" s="15">
        <v>330450</v>
      </c>
    </row>
    <row r="229" spans="1:7" x14ac:dyDescent="0.25">
      <c r="A229" s="16" t="str">
        <f t="shared" si="54"/>
        <v>PUERTA RF60 1200X2300</v>
      </c>
      <c r="B229" s="16" t="s">
        <v>38</v>
      </c>
      <c r="C229" s="15">
        <v>1200</v>
      </c>
      <c r="D229" s="21">
        <v>2300</v>
      </c>
      <c r="E229" s="15">
        <f t="shared" si="52"/>
        <v>1300</v>
      </c>
      <c r="F229" s="15">
        <f t="shared" si="53"/>
        <v>2350</v>
      </c>
      <c r="G229" s="15">
        <v>366770</v>
      </c>
    </row>
    <row r="230" spans="1:7" x14ac:dyDescent="0.25">
      <c r="A230" s="16" t="str">
        <f t="shared" si="54"/>
        <v>PUERTA RF60 1300X2300</v>
      </c>
      <c r="B230" s="16" t="s">
        <v>38</v>
      </c>
      <c r="C230" s="15">
        <v>1300</v>
      </c>
      <c r="D230" s="21">
        <v>2300</v>
      </c>
      <c r="E230" s="15">
        <f t="shared" si="52"/>
        <v>1400</v>
      </c>
      <c r="F230" s="15">
        <f t="shared" si="53"/>
        <v>2350</v>
      </c>
      <c r="G230" s="15">
        <v>392410</v>
      </c>
    </row>
    <row r="231" spans="1:7" x14ac:dyDescent="0.25">
      <c r="A231" s="16" t="str">
        <f t="shared" si="54"/>
        <v>PUERTA RF60 1400X2300</v>
      </c>
      <c r="B231" s="16" t="s">
        <v>38</v>
      </c>
      <c r="C231" s="15">
        <v>1400</v>
      </c>
      <c r="D231" s="21">
        <v>2300</v>
      </c>
      <c r="E231" s="15">
        <f t="shared" si="52"/>
        <v>1500</v>
      </c>
      <c r="F231" s="15">
        <f t="shared" si="53"/>
        <v>2350</v>
      </c>
      <c r="G231" s="15">
        <v>419850</v>
      </c>
    </row>
    <row r="232" spans="1:7" x14ac:dyDescent="0.25">
      <c r="A232" s="16" t="str">
        <f t="shared" si="54"/>
        <v>PUERTA RF60 1500X2300</v>
      </c>
      <c r="B232" s="16" t="s">
        <v>38</v>
      </c>
      <c r="C232" s="15">
        <v>1500</v>
      </c>
      <c r="D232" s="21">
        <v>2300</v>
      </c>
      <c r="E232" s="15">
        <f t="shared" si="52"/>
        <v>1600</v>
      </c>
      <c r="F232" s="15">
        <f t="shared" si="53"/>
        <v>2350</v>
      </c>
      <c r="G232" s="15">
        <v>449250</v>
      </c>
    </row>
    <row r="233" spans="1:7" x14ac:dyDescent="0.25">
      <c r="A233" s="16" t="str">
        <f t="shared" si="54"/>
        <v>PUERTA RF60 1600X2300</v>
      </c>
      <c r="B233" s="16" t="s">
        <v>38</v>
      </c>
      <c r="C233" s="15">
        <v>1600</v>
      </c>
      <c r="D233" s="21">
        <v>2300</v>
      </c>
      <c r="E233" s="15">
        <f t="shared" si="52"/>
        <v>1700</v>
      </c>
      <c r="F233" s="15">
        <f t="shared" si="53"/>
        <v>2350</v>
      </c>
      <c r="G233" s="15">
        <v>480650</v>
      </c>
    </row>
    <row r="234" spans="1:7" x14ac:dyDescent="0.25">
      <c r="A234" s="16" t="str">
        <f t="shared" si="54"/>
        <v>PUERTA RF60 1700X2300</v>
      </c>
      <c r="B234" s="16" t="s">
        <v>38</v>
      </c>
      <c r="C234" s="15">
        <v>1700</v>
      </c>
      <c r="D234" s="21">
        <v>2300</v>
      </c>
      <c r="E234" s="15">
        <f t="shared" si="52"/>
        <v>1800</v>
      </c>
      <c r="F234" s="15">
        <f t="shared" si="53"/>
        <v>2350</v>
      </c>
      <c r="G234" s="15">
        <v>514380</v>
      </c>
    </row>
    <row r="235" spans="1:7" x14ac:dyDescent="0.25">
      <c r="A235" s="16" t="str">
        <f t="shared" si="54"/>
        <v>PUERTA RF60 1800X2300</v>
      </c>
      <c r="B235" s="16" t="s">
        <v>38</v>
      </c>
      <c r="C235" s="15">
        <v>1800</v>
      </c>
      <c r="D235" s="21">
        <v>2300</v>
      </c>
      <c r="E235" s="15">
        <f t="shared" si="52"/>
        <v>1900</v>
      </c>
      <c r="F235" s="15">
        <f t="shared" si="53"/>
        <v>2350</v>
      </c>
      <c r="G235" s="15">
        <v>550340</v>
      </c>
    </row>
    <row r="236" spans="1:7" x14ac:dyDescent="0.25">
      <c r="A236" s="16" t="str">
        <f t="shared" si="54"/>
        <v>PUERTA RF60 1900X2300</v>
      </c>
      <c r="B236" s="16" t="s">
        <v>38</v>
      </c>
      <c r="C236" s="15">
        <v>1900</v>
      </c>
      <c r="D236" s="21">
        <v>2300</v>
      </c>
      <c r="E236" s="15">
        <f t="shared" si="52"/>
        <v>2000</v>
      </c>
      <c r="F236" s="15">
        <f t="shared" si="53"/>
        <v>2350</v>
      </c>
      <c r="G236" s="15">
        <v>588870</v>
      </c>
    </row>
    <row r="237" spans="1:7" x14ac:dyDescent="0.25">
      <c r="A237" s="16" t="str">
        <f t="shared" si="54"/>
        <v>PUERTA RF60 2000X2300</v>
      </c>
      <c r="B237" s="16" t="s">
        <v>38</v>
      </c>
      <c r="C237" s="15">
        <v>2000</v>
      </c>
      <c r="D237" s="21">
        <v>2300</v>
      </c>
      <c r="E237" s="15">
        <f>SUM($C237,100)</f>
        <v>2100</v>
      </c>
      <c r="F237" s="15">
        <f>SUM($D237,50)</f>
        <v>2350</v>
      </c>
      <c r="G237" s="15">
        <v>630160</v>
      </c>
    </row>
    <row r="238" spans="1:7" x14ac:dyDescent="0.25">
      <c r="A238" s="16" t="str">
        <f t="shared" si="54"/>
        <v>PUERTA RF60 2100X2300</v>
      </c>
      <c r="B238" s="16" t="s">
        <v>38</v>
      </c>
      <c r="C238" s="15">
        <v>2100</v>
      </c>
      <c r="D238" s="21">
        <v>2300</v>
      </c>
      <c r="E238" s="15">
        <f>SUM($C238,100)</f>
        <v>2200</v>
      </c>
      <c r="F238" s="15">
        <f>SUM($D238,50)</f>
        <v>2350</v>
      </c>
      <c r="G238" s="15">
        <v>674230</v>
      </c>
    </row>
    <row r="239" spans="1:7" x14ac:dyDescent="0.25">
      <c r="A239" s="16" t="str">
        <f t="shared" si="54"/>
        <v>PUERTA RF60 2200X2300</v>
      </c>
      <c r="B239" s="16" t="s">
        <v>38</v>
      </c>
      <c r="C239" s="15">
        <v>2200</v>
      </c>
      <c r="D239" s="21">
        <v>2300</v>
      </c>
      <c r="E239" s="15">
        <f>SUM($C239,100)</f>
        <v>2300</v>
      </c>
      <c r="F239" s="15">
        <f t="shared" ref="F239" si="55">SUM($D239,50)</f>
        <v>2350</v>
      </c>
      <c r="G239" s="15">
        <v>707970</v>
      </c>
    </row>
    <row r="240" spans="1:7" x14ac:dyDescent="0.25">
      <c r="A240" s="16" t="str">
        <f>CONCATENATE("PUERTA ",$B240," ",$C240,"X",$D240)</f>
        <v>PUERTA RF60 600X2400</v>
      </c>
      <c r="B240" s="16" t="s">
        <v>38</v>
      </c>
      <c r="C240" s="21">
        <v>600</v>
      </c>
      <c r="D240" s="21">
        <v>2400</v>
      </c>
      <c r="E240" s="21">
        <v>800</v>
      </c>
      <c r="F240" s="21">
        <v>2050</v>
      </c>
      <c r="G240" s="15">
        <v>294100</v>
      </c>
    </row>
    <row r="241" spans="1:7" x14ac:dyDescent="0.25">
      <c r="A241" s="16" t="str">
        <f>CONCATENATE("PUERTA ",$B241," ",$C241,"X",$D241)</f>
        <v>PUERTA RF60 700X2400</v>
      </c>
      <c r="B241" s="16" t="s">
        <v>38</v>
      </c>
      <c r="C241" s="15">
        <v>700</v>
      </c>
      <c r="D241" s="21">
        <v>2400</v>
      </c>
      <c r="E241" s="15">
        <f t="shared" ref="E241:E253" si="56">SUM($C241,100)</f>
        <v>800</v>
      </c>
      <c r="F241" s="15">
        <f t="shared" ref="F241:F253" si="57">SUM($D241,50)</f>
        <v>2450</v>
      </c>
      <c r="G241" s="15">
        <v>294100</v>
      </c>
    </row>
    <row r="242" spans="1:7" x14ac:dyDescent="0.25">
      <c r="A242" s="16" t="str">
        <f t="shared" ref="A242:A256" si="58">CONCATENATE("PUERTA ",$B242," ",$C242,"X",$D242)</f>
        <v>PUERTA RF60 800X2400</v>
      </c>
      <c r="B242" s="16" t="s">
        <v>38</v>
      </c>
      <c r="C242" s="15">
        <v>800</v>
      </c>
      <c r="D242" s="21">
        <v>2400</v>
      </c>
      <c r="E242" s="15">
        <f t="shared" si="56"/>
        <v>900</v>
      </c>
      <c r="F242" s="15">
        <f t="shared" si="57"/>
        <v>2450</v>
      </c>
      <c r="G242" s="15">
        <v>294100</v>
      </c>
    </row>
    <row r="243" spans="1:7" x14ac:dyDescent="0.25">
      <c r="A243" s="16" t="str">
        <f t="shared" si="58"/>
        <v>PUERTA RF60 900X2400</v>
      </c>
      <c r="B243" s="16" t="s">
        <v>38</v>
      </c>
      <c r="C243" s="15">
        <v>900</v>
      </c>
      <c r="D243" s="21">
        <v>2400</v>
      </c>
      <c r="E243" s="15">
        <f t="shared" si="56"/>
        <v>1000</v>
      </c>
      <c r="F243" s="15">
        <f t="shared" si="57"/>
        <v>2450</v>
      </c>
      <c r="G243" s="15">
        <v>310820</v>
      </c>
    </row>
    <row r="244" spans="1:7" x14ac:dyDescent="0.25">
      <c r="A244" s="16" t="str">
        <f t="shared" si="58"/>
        <v>PUERTA RF60 1000X2400</v>
      </c>
      <c r="B244" s="16" t="s">
        <v>38</v>
      </c>
      <c r="C244" s="15">
        <v>1000</v>
      </c>
      <c r="D244" s="21">
        <v>2400</v>
      </c>
      <c r="E244" s="15">
        <f t="shared" si="56"/>
        <v>1100</v>
      </c>
      <c r="F244" s="15">
        <f t="shared" si="57"/>
        <v>2450</v>
      </c>
      <c r="G244" s="15">
        <v>332620</v>
      </c>
    </row>
    <row r="245" spans="1:7" x14ac:dyDescent="0.25">
      <c r="A245" s="16" t="str">
        <f t="shared" si="58"/>
        <v>PUERTA RF60 1100X2400</v>
      </c>
      <c r="B245" s="16" t="s">
        <v>38</v>
      </c>
      <c r="C245" s="15">
        <v>1100</v>
      </c>
      <c r="D245" s="21">
        <v>2400</v>
      </c>
      <c r="E245" s="15">
        <f t="shared" si="56"/>
        <v>1200</v>
      </c>
      <c r="F245" s="15">
        <f t="shared" si="57"/>
        <v>2450</v>
      </c>
      <c r="G245" s="15">
        <v>355860</v>
      </c>
    </row>
    <row r="246" spans="1:7" x14ac:dyDescent="0.25">
      <c r="A246" s="16" t="str">
        <f t="shared" si="58"/>
        <v>PUERTA RF60 1200X2400</v>
      </c>
      <c r="B246" s="16" t="s">
        <v>38</v>
      </c>
      <c r="C246" s="15">
        <v>1200</v>
      </c>
      <c r="D246" s="21">
        <v>2400</v>
      </c>
      <c r="E246" s="15">
        <f t="shared" si="56"/>
        <v>1300</v>
      </c>
      <c r="F246" s="15">
        <f t="shared" si="57"/>
        <v>2450</v>
      </c>
      <c r="G246" s="15">
        <v>394970</v>
      </c>
    </row>
    <row r="247" spans="1:7" x14ac:dyDescent="0.25">
      <c r="A247" s="16" t="str">
        <f t="shared" si="58"/>
        <v>PUERTA RF60 1300X2400</v>
      </c>
      <c r="B247" s="16" t="s">
        <v>38</v>
      </c>
      <c r="C247" s="15">
        <v>1300</v>
      </c>
      <c r="D247" s="21">
        <v>2400</v>
      </c>
      <c r="E247" s="15">
        <f t="shared" si="56"/>
        <v>1400</v>
      </c>
      <c r="F247" s="15">
        <f t="shared" si="57"/>
        <v>2450</v>
      </c>
      <c r="G247" s="15">
        <v>422550</v>
      </c>
    </row>
    <row r="248" spans="1:7" x14ac:dyDescent="0.25">
      <c r="A248" s="16" t="str">
        <f t="shared" si="58"/>
        <v>PUERTA RF60 1400X2400</v>
      </c>
      <c r="B248" s="16" t="s">
        <v>38</v>
      </c>
      <c r="C248" s="15">
        <v>1400</v>
      </c>
      <c r="D248" s="21">
        <v>2400</v>
      </c>
      <c r="E248" s="15">
        <f t="shared" si="56"/>
        <v>1500</v>
      </c>
      <c r="F248" s="15">
        <f t="shared" si="57"/>
        <v>2450</v>
      </c>
      <c r="G248" s="15">
        <v>452190</v>
      </c>
    </row>
    <row r="249" spans="1:7" x14ac:dyDescent="0.25">
      <c r="A249" s="16" t="str">
        <f t="shared" si="58"/>
        <v>PUERTA RF60 1500X2400</v>
      </c>
      <c r="B249" s="16" t="s">
        <v>38</v>
      </c>
      <c r="C249" s="15">
        <v>1500</v>
      </c>
      <c r="D249" s="21">
        <v>2400</v>
      </c>
      <c r="E249" s="15">
        <f t="shared" si="56"/>
        <v>1600</v>
      </c>
      <c r="F249" s="15">
        <f t="shared" si="57"/>
        <v>2450</v>
      </c>
      <c r="G249" s="15">
        <v>483820</v>
      </c>
    </row>
    <row r="250" spans="1:7" x14ac:dyDescent="0.25">
      <c r="A250" s="16" t="str">
        <f t="shared" si="58"/>
        <v>PUERTA RF60 1600X2400</v>
      </c>
      <c r="B250" s="16" t="s">
        <v>38</v>
      </c>
      <c r="C250" s="15">
        <v>1600</v>
      </c>
      <c r="D250" s="21">
        <v>2400</v>
      </c>
      <c r="E250" s="15">
        <f t="shared" si="56"/>
        <v>1700</v>
      </c>
      <c r="F250" s="15">
        <f t="shared" si="57"/>
        <v>2450</v>
      </c>
      <c r="G250" s="15">
        <v>517620</v>
      </c>
    </row>
    <row r="251" spans="1:7" x14ac:dyDescent="0.25">
      <c r="A251" s="16" t="str">
        <f t="shared" si="58"/>
        <v>PUERTA RF60 1700X2400</v>
      </c>
      <c r="B251" s="16" t="s">
        <v>38</v>
      </c>
      <c r="C251" s="15">
        <v>1700</v>
      </c>
      <c r="D251" s="21">
        <v>2400</v>
      </c>
      <c r="E251" s="15">
        <f t="shared" si="56"/>
        <v>1800</v>
      </c>
      <c r="F251" s="15">
        <f t="shared" si="57"/>
        <v>2450</v>
      </c>
      <c r="G251" s="15">
        <v>553960</v>
      </c>
    </row>
    <row r="252" spans="1:7" x14ac:dyDescent="0.25">
      <c r="A252" s="16" t="str">
        <f t="shared" si="58"/>
        <v>PUERTA RF60 1800X2400</v>
      </c>
      <c r="B252" s="16" t="s">
        <v>38</v>
      </c>
      <c r="C252" s="15">
        <v>1800</v>
      </c>
      <c r="D252" s="21">
        <v>2400</v>
      </c>
      <c r="E252" s="15">
        <f t="shared" si="56"/>
        <v>1900</v>
      </c>
      <c r="F252" s="15">
        <f t="shared" si="57"/>
        <v>2450</v>
      </c>
      <c r="G252" s="15">
        <v>592580</v>
      </c>
    </row>
    <row r="253" spans="1:7" x14ac:dyDescent="0.25">
      <c r="A253" s="16" t="str">
        <f t="shared" si="58"/>
        <v>PUERTA RF60 1900X2400</v>
      </c>
      <c r="B253" s="16" t="s">
        <v>38</v>
      </c>
      <c r="C253" s="15">
        <v>1900</v>
      </c>
      <c r="D253" s="21">
        <v>2400</v>
      </c>
      <c r="E253" s="15">
        <f t="shared" si="56"/>
        <v>2000</v>
      </c>
      <c r="F253" s="15">
        <f t="shared" si="57"/>
        <v>2450</v>
      </c>
      <c r="G253" s="15">
        <v>634190</v>
      </c>
    </row>
    <row r="254" spans="1:7" x14ac:dyDescent="0.25">
      <c r="A254" s="16" t="str">
        <f t="shared" si="58"/>
        <v>PUERTA RF60 2000X2400</v>
      </c>
      <c r="B254" s="16" t="s">
        <v>38</v>
      </c>
      <c r="C254" s="15">
        <v>2000</v>
      </c>
      <c r="D254" s="21">
        <v>2400</v>
      </c>
      <c r="E254" s="15">
        <f>SUM($C254,100)</f>
        <v>2100</v>
      </c>
      <c r="F254" s="15">
        <f>SUM($D254,50)</f>
        <v>2450</v>
      </c>
      <c r="G254" s="15">
        <v>678650</v>
      </c>
    </row>
    <row r="255" spans="1:7" x14ac:dyDescent="0.25">
      <c r="A255" s="16" t="str">
        <f t="shared" si="58"/>
        <v>PUERTA RF60 2100X2400</v>
      </c>
      <c r="B255" s="16" t="s">
        <v>38</v>
      </c>
      <c r="C255" s="15">
        <v>2100</v>
      </c>
      <c r="D255" s="21">
        <v>2400</v>
      </c>
      <c r="E255" s="15">
        <f>SUM($C255,100)</f>
        <v>2200</v>
      </c>
      <c r="F255" s="15">
        <f>SUM($D255,50)</f>
        <v>2450</v>
      </c>
      <c r="G255" s="15">
        <v>726050</v>
      </c>
    </row>
    <row r="256" spans="1:7" x14ac:dyDescent="0.25">
      <c r="A256" s="16" t="str">
        <f t="shared" si="58"/>
        <v>PUERTA RF60 2200X2400</v>
      </c>
      <c r="B256" s="16" t="s">
        <v>38</v>
      </c>
      <c r="C256" s="15">
        <v>2200</v>
      </c>
      <c r="D256" s="21">
        <v>2400</v>
      </c>
      <c r="E256" s="15">
        <f>SUM($C256,100)</f>
        <v>2300</v>
      </c>
      <c r="F256" s="15">
        <f t="shared" ref="F256" si="59">SUM($D256,50)</f>
        <v>2450</v>
      </c>
      <c r="G256" s="15">
        <v>762440</v>
      </c>
    </row>
    <row r="257" spans="1:7" x14ac:dyDescent="0.25">
      <c r="A257" s="16" t="str">
        <f>CONCATENATE("PUERTA ",$B257," ",$C257,"X",$D257)</f>
        <v>PUERTA RF90 600X2000</v>
      </c>
      <c r="B257" s="16" t="s">
        <v>39</v>
      </c>
      <c r="C257" s="21">
        <v>600</v>
      </c>
      <c r="D257" s="21">
        <v>2000</v>
      </c>
      <c r="E257" s="21">
        <v>800</v>
      </c>
      <c r="F257" s="21">
        <v>2050</v>
      </c>
      <c r="G257" s="15">
        <v>276020</v>
      </c>
    </row>
    <row r="258" spans="1:7" x14ac:dyDescent="0.25">
      <c r="A258" s="16" t="str">
        <f>CONCATENATE("PUERTA ",$B258," ",$C258,"X",$D258)</f>
        <v>PUERTA RF90 700X2000</v>
      </c>
      <c r="B258" s="16" t="s">
        <v>39</v>
      </c>
      <c r="C258" s="15">
        <v>700</v>
      </c>
      <c r="D258" s="15">
        <v>2000</v>
      </c>
      <c r="E258" s="15">
        <f t="shared" ref="E258:E270" si="60">SUM($C258,100)</f>
        <v>800</v>
      </c>
      <c r="F258" s="15">
        <f t="shared" ref="F258:F270" si="61">SUM($D258,50)</f>
        <v>2050</v>
      </c>
      <c r="G258" s="15">
        <v>276020</v>
      </c>
    </row>
    <row r="259" spans="1:7" x14ac:dyDescent="0.25">
      <c r="A259" s="16" t="str">
        <f t="shared" ref="A259:A273" si="62">CONCATENATE("PUERTA ",$B259," ",$C259,"X",$D259)</f>
        <v>PUERTA RF90 800X2000</v>
      </c>
      <c r="B259" s="16" t="s">
        <v>39</v>
      </c>
      <c r="C259" s="15">
        <v>800</v>
      </c>
      <c r="D259" s="15">
        <v>2000</v>
      </c>
      <c r="E259" s="15">
        <f t="shared" si="60"/>
        <v>900</v>
      </c>
      <c r="F259" s="15">
        <f t="shared" si="61"/>
        <v>2050</v>
      </c>
      <c r="G259" s="15">
        <v>276020</v>
      </c>
    </row>
    <row r="260" spans="1:7" x14ac:dyDescent="0.25">
      <c r="A260" s="16" t="str">
        <f t="shared" si="62"/>
        <v>PUERTA RF90 900X2000</v>
      </c>
      <c r="B260" s="16" t="s">
        <v>39</v>
      </c>
      <c r="C260" s="15">
        <v>900</v>
      </c>
      <c r="D260" s="15">
        <v>2000</v>
      </c>
      <c r="E260" s="15">
        <f t="shared" si="60"/>
        <v>1000</v>
      </c>
      <c r="F260" s="15">
        <f t="shared" si="61"/>
        <v>2050</v>
      </c>
      <c r="G260" s="15">
        <v>291710</v>
      </c>
    </row>
    <row r="261" spans="1:7" x14ac:dyDescent="0.25">
      <c r="A261" s="16" t="str">
        <f t="shared" si="62"/>
        <v>PUERTA RF90 1000X2000</v>
      </c>
      <c r="B261" s="16" t="s">
        <v>39</v>
      </c>
      <c r="C261" s="15">
        <v>1000</v>
      </c>
      <c r="D261" s="15">
        <v>2000</v>
      </c>
      <c r="E261" s="15">
        <f t="shared" si="60"/>
        <v>1100</v>
      </c>
      <c r="F261" s="15">
        <f t="shared" si="61"/>
        <v>2050</v>
      </c>
      <c r="G261" s="15">
        <v>312350</v>
      </c>
    </row>
    <row r="262" spans="1:7" x14ac:dyDescent="0.25">
      <c r="A262" s="16" t="str">
        <f t="shared" si="62"/>
        <v>PUERTA RF90 1100X2000</v>
      </c>
      <c r="B262" s="16" t="s">
        <v>39</v>
      </c>
      <c r="C262" s="15">
        <v>1100</v>
      </c>
      <c r="D262" s="15">
        <v>2000</v>
      </c>
      <c r="E262" s="15">
        <f t="shared" si="60"/>
        <v>1200</v>
      </c>
      <c r="F262" s="15">
        <f t="shared" si="61"/>
        <v>2050</v>
      </c>
      <c r="G262" s="15">
        <v>334330</v>
      </c>
    </row>
    <row r="263" spans="1:7" x14ac:dyDescent="0.25">
      <c r="A263" s="16" t="str">
        <f t="shared" si="62"/>
        <v>PUERTA RF90 1200X2000</v>
      </c>
      <c r="B263" s="16" t="s">
        <v>39</v>
      </c>
      <c r="C263" s="15">
        <v>1200</v>
      </c>
      <c r="D263" s="15">
        <v>2000</v>
      </c>
      <c r="E263" s="15">
        <f t="shared" si="60"/>
        <v>1300</v>
      </c>
      <c r="F263" s="15">
        <f t="shared" si="61"/>
        <v>2050</v>
      </c>
      <c r="G263" s="15">
        <v>371420</v>
      </c>
    </row>
    <row r="264" spans="1:7" x14ac:dyDescent="0.25">
      <c r="A264" s="16" t="str">
        <f t="shared" si="62"/>
        <v>PUERTA RF90 1300X2000</v>
      </c>
      <c r="B264" s="16" t="s">
        <v>39</v>
      </c>
      <c r="C264" s="15">
        <v>1300</v>
      </c>
      <c r="D264" s="15">
        <v>2000</v>
      </c>
      <c r="E264" s="15">
        <f t="shared" si="60"/>
        <v>1400</v>
      </c>
      <c r="F264" s="15">
        <f t="shared" si="61"/>
        <v>2050</v>
      </c>
      <c r="G264" s="15">
        <v>396290</v>
      </c>
    </row>
    <row r="265" spans="1:7" x14ac:dyDescent="0.25">
      <c r="A265" s="16" t="str">
        <f t="shared" si="62"/>
        <v>PUERTA RF90 1400X2000</v>
      </c>
      <c r="B265" s="16" t="s">
        <v>39</v>
      </c>
      <c r="C265" s="15">
        <v>1400</v>
      </c>
      <c r="D265" s="15">
        <v>2000</v>
      </c>
      <c r="E265" s="15">
        <f t="shared" si="60"/>
        <v>1500</v>
      </c>
      <c r="F265" s="15">
        <f t="shared" si="61"/>
        <v>2050</v>
      </c>
      <c r="G265" s="15">
        <v>424580</v>
      </c>
    </row>
    <row r="266" spans="1:7" x14ac:dyDescent="0.25">
      <c r="A266" s="16" t="str">
        <f t="shared" si="62"/>
        <v>PUERTA RF90 1500X2000</v>
      </c>
      <c r="B266" s="16" t="s">
        <v>39</v>
      </c>
      <c r="C266" s="15">
        <v>1500</v>
      </c>
      <c r="D266" s="15">
        <v>2000</v>
      </c>
      <c r="E266" s="15">
        <f t="shared" si="60"/>
        <v>1600</v>
      </c>
      <c r="F266" s="15">
        <f t="shared" si="61"/>
        <v>2050</v>
      </c>
      <c r="G266" s="15">
        <v>454780</v>
      </c>
    </row>
    <row r="267" spans="1:7" x14ac:dyDescent="0.25">
      <c r="A267" s="16" t="str">
        <f t="shared" si="62"/>
        <v>PUERTA RF90 1600X2000</v>
      </c>
      <c r="B267" s="16" t="s">
        <v>39</v>
      </c>
      <c r="C267" s="15">
        <v>1600</v>
      </c>
      <c r="D267" s="15">
        <v>2000</v>
      </c>
      <c r="E267" s="15">
        <f t="shared" si="60"/>
        <v>1700</v>
      </c>
      <c r="F267" s="15">
        <f t="shared" si="61"/>
        <v>2050</v>
      </c>
      <c r="G267" s="15">
        <v>486110</v>
      </c>
    </row>
    <row r="268" spans="1:7" x14ac:dyDescent="0.25">
      <c r="A268" s="16" t="str">
        <f t="shared" si="62"/>
        <v>PUERTA RF90 1700X2000</v>
      </c>
      <c r="B268" s="16" t="s">
        <v>39</v>
      </c>
      <c r="C268" s="15">
        <v>1700</v>
      </c>
      <c r="D268" s="15">
        <v>2000</v>
      </c>
      <c r="E268" s="15">
        <f t="shared" si="60"/>
        <v>1800</v>
      </c>
      <c r="F268" s="15">
        <f t="shared" si="61"/>
        <v>2050</v>
      </c>
      <c r="G268" s="15">
        <v>520000</v>
      </c>
    </row>
    <row r="269" spans="1:7" x14ac:dyDescent="0.25">
      <c r="A269" s="16" t="str">
        <f t="shared" si="62"/>
        <v>PUERTA RF90 1800X2000</v>
      </c>
      <c r="B269" s="16" t="s">
        <v>39</v>
      </c>
      <c r="C269" s="15">
        <v>1800</v>
      </c>
      <c r="D269" s="15">
        <v>2000</v>
      </c>
      <c r="E269" s="15">
        <f t="shared" si="60"/>
        <v>1900</v>
      </c>
      <c r="F269" s="15">
        <f t="shared" si="61"/>
        <v>2050</v>
      </c>
      <c r="G269" s="15">
        <v>556370</v>
      </c>
    </row>
    <row r="270" spans="1:7" x14ac:dyDescent="0.25">
      <c r="A270" s="16" t="str">
        <f t="shared" si="62"/>
        <v>PUERTA RF90 1900X2000</v>
      </c>
      <c r="B270" s="16" t="s">
        <v>39</v>
      </c>
      <c r="C270" s="15">
        <v>1900</v>
      </c>
      <c r="D270" s="15">
        <v>2000</v>
      </c>
      <c r="E270" s="15">
        <f t="shared" si="60"/>
        <v>2000</v>
      </c>
      <c r="F270" s="15">
        <f t="shared" si="61"/>
        <v>2050</v>
      </c>
      <c r="G270" s="15">
        <v>595500</v>
      </c>
    </row>
    <row r="271" spans="1:7" x14ac:dyDescent="0.25">
      <c r="A271" s="16" t="str">
        <f t="shared" si="62"/>
        <v>PUERTA RF90 2000X2000</v>
      </c>
      <c r="B271" s="16" t="s">
        <v>39</v>
      </c>
      <c r="C271" s="15">
        <v>2000</v>
      </c>
      <c r="D271" s="15">
        <v>2000</v>
      </c>
      <c r="E271" s="15">
        <f>SUM($C271,100)</f>
        <v>2100</v>
      </c>
      <c r="F271" s="15">
        <f>SUM($D271,50)</f>
        <v>2050</v>
      </c>
      <c r="G271" s="15">
        <v>637310</v>
      </c>
    </row>
    <row r="272" spans="1:7" x14ac:dyDescent="0.25">
      <c r="A272" s="16" t="str">
        <f t="shared" si="62"/>
        <v>PUERTA RF90 2100X2000</v>
      </c>
      <c r="B272" s="16" t="s">
        <v>39</v>
      </c>
      <c r="C272" s="15">
        <v>2100</v>
      </c>
      <c r="D272" s="15">
        <v>2000</v>
      </c>
      <c r="E272" s="15">
        <f>SUM($C272,100)</f>
        <v>2200</v>
      </c>
      <c r="F272" s="15">
        <f>SUM($D272,50)</f>
        <v>2050</v>
      </c>
      <c r="G272" s="15">
        <v>681850</v>
      </c>
    </row>
    <row r="273" spans="1:7" x14ac:dyDescent="0.25">
      <c r="A273" s="16" t="str">
        <f t="shared" si="62"/>
        <v>PUERTA RF90 2200X2000</v>
      </c>
      <c r="B273" s="16" t="s">
        <v>39</v>
      </c>
      <c r="C273" s="15">
        <v>2200</v>
      </c>
      <c r="D273" s="15">
        <v>2000</v>
      </c>
      <c r="E273" s="15">
        <f>SUM($C273,100)</f>
        <v>2300</v>
      </c>
      <c r="F273" s="15">
        <f t="shared" ref="F273" si="63">SUM($D273,50)</f>
        <v>2050</v>
      </c>
      <c r="G273" s="15">
        <v>715950</v>
      </c>
    </row>
    <row r="274" spans="1:7" x14ac:dyDescent="0.25">
      <c r="A274" s="16" t="str">
        <f>CONCATENATE("PUERTA ",$B274," ",$C274,"X",$D274)</f>
        <v>PUERTA RF90 600X2100</v>
      </c>
      <c r="B274" s="16" t="s">
        <v>39</v>
      </c>
      <c r="C274" s="21">
        <v>600</v>
      </c>
      <c r="D274" s="21">
        <v>2100</v>
      </c>
      <c r="E274" s="21">
        <v>800</v>
      </c>
      <c r="F274" s="21">
        <v>2050</v>
      </c>
      <c r="G274" s="15">
        <v>303620</v>
      </c>
    </row>
    <row r="275" spans="1:7" x14ac:dyDescent="0.25">
      <c r="A275" s="16" t="str">
        <f>CONCATENATE("PUERTA ",$B275," ",$C275,"X",$D275)</f>
        <v>PUERTA RF90 700X2100</v>
      </c>
      <c r="B275" s="16" t="s">
        <v>39</v>
      </c>
      <c r="C275" s="15">
        <v>700</v>
      </c>
      <c r="D275" s="21">
        <v>2100</v>
      </c>
      <c r="E275" s="15">
        <f t="shared" ref="E275:E287" si="64">SUM($C275,100)</f>
        <v>800</v>
      </c>
      <c r="F275" s="15">
        <f t="shared" ref="F275:F287" si="65">SUM($D275,50)</f>
        <v>2150</v>
      </c>
      <c r="G275" s="15">
        <v>303620</v>
      </c>
    </row>
    <row r="276" spans="1:7" x14ac:dyDescent="0.25">
      <c r="A276" s="16" t="str">
        <f t="shared" ref="A276:A290" si="66">CONCATENATE("PUERTA ",$B276," ",$C276,"X",$D276)</f>
        <v>PUERTA RF90 800X2100</v>
      </c>
      <c r="B276" s="16" t="s">
        <v>39</v>
      </c>
      <c r="C276" s="15">
        <v>800</v>
      </c>
      <c r="D276" s="21">
        <v>2100</v>
      </c>
      <c r="E276" s="15">
        <f t="shared" si="64"/>
        <v>900</v>
      </c>
      <c r="F276" s="15">
        <f t="shared" si="65"/>
        <v>2150</v>
      </c>
      <c r="G276" s="15">
        <v>303620</v>
      </c>
    </row>
    <row r="277" spans="1:7" x14ac:dyDescent="0.25">
      <c r="A277" s="16" t="str">
        <f t="shared" si="66"/>
        <v>PUERTA RF90 900X2100</v>
      </c>
      <c r="B277" s="16" t="s">
        <v>39</v>
      </c>
      <c r="C277" s="15">
        <v>900</v>
      </c>
      <c r="D277" s="21">
        <v>2100</v>
      </c>
      <c r="E277" s="15">
        <f t="shared" si="64"/>
        <v>1000</v>
      </c>
      <c r="F277" s="15">
        <f t="shared" si="65"/>
        <v>2150</v>
      </c>
      <c r="G277" s="15">
        <v>320840</v>
      </c>
    </row>
    <row r="278" spans="1:7" x14ac:dyDescent="0.25">
      <c r="A278" s="16" t="str">
        <f t="shared" si="66"/>
        <v>PUERTA RF90 1000X2100</v>
      </c>
      <c r="B278" s="16" t="s">
        <v>39</v>
      </c>
      <c r="C278" s="15">
        <v>1000</v>
      </c>
      <c r="D278" s="21">
        <v>2100</v>
      </c>
      <c r="E278" s="15">
        <f t="shared" si="64"/>
        <v>1100</v>
      </c>
      <c r="F278" s="15">
        <f t="shared" si="65"/>
        <v>2150</v>
      </c>
      <c r="G278" s="15">
        <v>343660</v>
      </c>
    </row>
    <row r="279" spans="1:7" x14ac:dyDescent="0.25">
      <c r="A279" s="16" t="str">
        <f t="shared" si="66"/>
        <v>PUERTA RF90 1100X2100</v>
      </c>
      <c r="B279" s="16" t="s">
        <v>39</v>
      </c>
      <c r="C279" s="15">
        <v>1100</v>
      </c>
      <c r="D279" s="21">
        <v>2100</v>
      </c>
      <c r="E279" s="15">
        <f t="shared" si="64"/>
        <v>1200</v>
      </c>
      <c r="F279" s="15">
        <f t="shared" si="65"/>
        <v>2150</v>
      </c>
      <c r="G279" s="15">
        <v>367780</v>
      </c>
    </row>
    <row r="280" spans="1:7" x14ac:dyDescent="0.25">
      <c r="A280" s="16" t="str">
        <f t="shared" si="66"/>
        <v>PUERTA RF90 1200X2100</v>
      </c>
      <c r="B280" s="16" t="s">
        <v>39</v>
      </c>
      <c r="C280" s="15">
        <v>1200</v>
      </c>
      <c r="D280" s="21">
        <v>2100</v>
      </c>
      <c r="E280" s="15">
        <f t="shared" si="64"/>
        <v>1300</v>
      </c>
      <c r="F280" s="15">
        <f t="shared" si="65"/>
        <v>2150</v>
      </c>
      <c r="G280" s="15">
        <v>408540</v>
      </c>
    </row>
    <row r="281" spans="1:7" x14ac:dyDescent="0.25">
      <c r="A281" s="16" t="str">
        <f t="shared" si="66"/>
        <v>PUERTA RF90 1300X2100</v>
      </c>
      <c r="B281" s="16" t="s">
        <v>39</v>
      </c>
      <c r="C281" s="15">
        <v>1300</v>
      </c>
      <c r="D281" s="21">
        <v>2100</v>
      </c>
      <c r="E281" s="15">
        <f t="shared" si="64"/>
        <v>1400</v>
      </c>
      <c r="F281" s="15">
        <f t="shared" si="65"/>
        <v>2150</v>
      </c>
      <c r="G281" s="15">
        <v>435990</v>
      </c>
    </row>
    <row r="282" spans="1:7" x14ac:dyDescent="0.25">
      <c r="A282" s="16" t="str">
        <f t="shared" si="66"/>
        <v>PUERTA RF90 1400X2100</v>
      </c>
      <c r="B282" s="16" t="s">
        <v>39</v>
      </c>
      <c r="C282" s="15">
        <v>1400</v>
      </c>
      <c r="D282" s="21">
        <v>2100</v>
      </c>
      <c r="E282" s="15">
        <f t="shared" si="64"/>
        <v>1500</v>
      </c>
      <c r="F282" s="15">
        <f t="shared" si="65"/>
        <v>2150</v>
      </c>
      <c r="G282" s="15">
        <v>467040</v>
      </c>
    </row>
    <row r="283" spans="1:7" x14ac:dyDescent="0.25">
      <c r="A283" s="16" t="str">
        <f t="shared" si="66"/>
        <v>PUERTA RF90 1500X2100</v>
      </c>
      <c r="B283" s="16" t="s">
        <v>39</v>
      </c>
      <c r="C283" s="15">
        <v>1500</v>
      </c>
      <c r="D283" s="21">
        <v>2100</v>
      </c>
      <c r="E283" s="15">
        <f t="shared" si="64"/>
        <v>1600</v>
      </c>
      <c r="F283" s="15">
        <f t="shared" si="65"/>
        <v>2150</v>
      </c>
      <c r="G283" s="15">
        <v>500240</v>
      </c>
    </row>
    <row r="284" spans="1:7" x14ac:dyDescent="0.25">
      <c r="A284" s="16" t="str">
        <f t="shared" si="66"/>
        <v>PUERTA RF90 1600X2100</v>
      </c>
      <c r="B284" s="16" t="s">
        <v>39</v>
      </c>
      <c r="C284" s="15">
        <v>1600</v>
      </c>
      <c r="D284" s="21">
        <v>2100</v>
      </c>
      <c r="E284" s="15">
        <f t="shared" si="64"/>
        <v>1700</v>
      </c>
      <c r="F284" s="15">
        <f t="shared" si="65"/>
        <v>2150</v>
      </c>
      <c r="G284" s="15">
        <v>534730</v>
      </c>
    </row>
    <row r="285" spans="1:7" x14ac:dyDescent="0.25">
      <c r="A285" s="16" t="str">
        <f t="shared" si="66"/>
        <v>PUERTA RF90 1700X2100</v>
      </c>
      <c r="B285" s="16" t="s">
        <v>39</v>
      </c>
      <c r="C285" s="15">
        <v>1700</v>
      </c>
      <c r="D285" s="21">
        <v>2100</v>
      </c>
      <c r="E285" s="15">
        <f t="shared" si="64"/>
        <v>1800</v>
      </c>
      <c r="F285" s="15">
        <f t="shared" si="65"/>
        <v>2150</v>
      </c>
      <c r="G285" s="15">
        <v>572050</v>
      </c>
    </row>
    <row r="286" spans="1:7" x14ac:dyDescent="0.25">
      <c r="A286" s="16" t="str">
        <f t="shared" si="66"/>
        <v>PUERTA RF90 1800X2100</v>
      </c>
      <c r="B286" s="16" t="s">
        <v>39</v>
      </c>
      <c r="C286" s="15">
        <v>1800</v>
      </c>
      <c r="D286" s="21">
        <v>2100</v>
      </c>
      <c r="E286" s="15">
        <f t="shared" si="64"/>
        <v>1900</v>
      </c>
      <c r="F286" s="15">
        <f t="shared" si="65"/>
        <v>2150</v>
      </c>
      <c r="G286" s="15">
        <v>611940</v>
      </c>
    </row>
    <row r="287" spans="1:7" x14ac:dyDescent="0.25">
      <c r="A287" s="16" t="str">
        <f t="shared" si="66"/>
        <v>PUERTA RF90 1900X2100</v>
      </c>
      <c r="B287" s="16" t="s">
        <v>39</v>
      </c>
      <c r="C287" s="15">
        <v>1900</v>
      </c>
      <c r="D287" s="21">
        <v>2100</v>
      </c>
      <c r="E287" s="15">
        <f t="shared" si="64"/>
        <v>2000</v>
      </c>
      <c r="F287" s="15">
        <f t="shared" si="65"/>
        <v>2150</v>
      </c>
      <c r="G287" s="15">
        <v>655030</v>
      </c>
    </row>
    <row r="288" spans="1:7" x14ac:dyDescent="0.25">
      <c r="A288" s="16" t="str">
        <f t="shared" si="66"/>
        <v>PUERTA RF90 2000X2100</v>
      </c>
      <c r="B288" s="16" t="s">
        <v>39</v>
      </c>
      <c r="C288" s="15">
        <v>2000</v>
      </c>
      <c r="D288" s="21">
        <v>2100</v>
      </c>
      <c r="E288" s="15">
        <f>SUM($C288,100)</f>
        <v>2100</v>
      </c>
      <c r="F288" s="15">
        <f>SUM($D288,50)</f>
        <v>2150</v>
      </c>
      <c r="G288" s="15">
        <v>700990</v>
      </c>
    </row>
    <row r="289" spans="1:7" x14ac:dyDescent="0.25">
      <c r="A289" s="16" t="str">
        <f t="shared" si="66"/>
        <v>PUERTA RF90 2100X2100</v>
      </c>
      <c r="B289" s="16" t="s">
        <v>39</v>
      </c>
      <c r="C289" s="15">
        <v>2100</v>
      </c>
      <c r="D289" s="21">
        <v>2100</v>
      </c>
      <c r="E289" s="15">
        <f>SUM($C289,100)</f>
        <v>2200</v>
      </c>
      <c r="F289" s="15">
        <f>SUM($D289,50)</f>
        <v>2150</v>
      </c>
      <c r="G289" s="15">
        <v>749940</v>
      </c>
    </row>
    <row r="290" spans="1:7" x14ac:dyDescent="0.25">
      <c r="A290" s="16" t="str">
        <f t="shared" si="66"/>
        <v>PUERTA RF90 2200X2100</v>
      </c>
      <c r="B290" s="16" t="s">
        <v>39</v>
      </c>
      <c r="C290" s="15">
        <v>2200</v>
      </c>
      <c r="D290" s="21">
        <v>2100</v>
      </c>
      <c r="E290" s="15">
        <f>SUM($C290,100)</f>
        <v>2300</v>
      </c>
      <c r="F290" s="15">
        <f t="shared" ref="F290" si="67">SUM($D290,50)</f>
        <v>2150</v>
      </c>
      <c r="G290" s="15">
        <v>787480</v>
      </c>
    </row>
    <row r="291" spans="1:7" x14ac:dyDescent="0.25">
      <c r="A291" s="16" t="str">
        <f>CONCATENATE("PUERTA ",$B291," ",$C291,"X",$D291)</f>
        <v>PUERTA RF90 600X2200</v>
      </c>
      <c r="B291" s="16" t="s">
        <v>39</v>
      </c>
      <c r="C291" s="21">
        <v>600</v>
      </c>
      <c r="D291" s="21">
        <v>2200</v>
      </c>
      <c r="E291" s="21">
        <v>800</v>
      </c>
      <c r="F291" s="21">
        <v>2050</v>
      </c>
      <c r="G291" s="15">
        <v>331180</v>
      </c>
    </row>
    <row r="292" spans="1:7" x14ac:dyDescent="0.25">
      <c r="A292" s="16" t="str">
        <f>CONCATENATE("PUERTA ",$B292," ",$C292,"X",$D292)</f>
        <v>PUERTA RF90 700X2200</v>
      </c>
      <c r="B292" s="16" t="s">
        <v>39</v>
      </c>
      <c r="C292" s="15">
        <v>700</v>
      </c>
      <c r="D292" s="21">
        <v>2200</v>
      </c>
      <c r="E292" s="15">
        <f t="shared" ref="E292:E304" si="68">SUM($C292,100)</f>
        <v>800</v>
      </c>
      <c r="F292" s="15">
        <f t="shared" ref="F292:F304" si="69">SUM($D292,50)</f>
        <v>2250</v>
      </c>
      <c r="G292" s="15">
        <v>331180</v>
      </c>
    </row>
    <row r="293" spans="1:7" x14ac:dyDescent="0.25">
      <c r="A293" s="16" t="str">
        <f t="shared" ref="A293:A307" si="70">CONCATENATE("PUERTA ",$B293," ",$C293,"X",$D293)</f>
        <v>PUERTA RF90 800X2200</v>
      </c>
      <c r="B293" s="16" t="s">
        <v>39</v>
      </c>
      <c r="C293" s="15">
        <v>800</v>
      </c>
      <c r="D293" s="21">
        <v>2200</v>
      </c>
      <c r="E293" s="15">
        <f t="shared" si="68"/>
        <v>900</v>
      </c>
      <c r="F293" s="15">
        <f t="shared" si="69"/>
        <v>2250</v>
      </c>
      <c r="G293" s="15">
        <v>331180</v>
      </c>
    </row>
    <row r="294" spans="1:7" x14ac:dyDescent="0.25">
      <c r="A294" s="16" t="str">
        <f t="shared" si="70"/>
        <v>PUERTA RF90 900X2200</v>
      </c>
      <c r="B294" s="16" t="s">
        <v>39</v>
      </c>
      <c r="C294" s="15">
        <v>900</v>
      </c>
      <c r="D294" s="21">
        <v>2200</v>
      </c>
      <c r="E294" s="15">
        <f t="shared" si="68"/>
        <v>1000</v>
      </c>
      <c r="F294" s="15">
        <f t="shared" si="69"/>
        <v>2250</v>
      </c>
      <c r="G294" s="15">
        <v>350030</v>
      </c>
    </row>
    <row r="295" spans="1:7" x14ac:dyDescent="0.25">
      <c r="A295" s="16" t="str">
        <f t="shared" si="70"/>
        <v>PUERTA RF90 1000X2200</v>
      </c>
      <c r="B295" s="16" t="s">
        <v>39</v>
      </c>
      <c r="C295" s="15">
        <v>1000</v>
      </c>
      <c r="D295" s="21">
        <v>2200</v>
      </c>
      <c r="E295" s="15">
        <f t="shared" si="68"/>
        <v>1100</v>
      </c>
      <c r="F295" s="15">
        <f t="shared" si="69"/>
        <v>2250</v>
      </c>
      <c r="G295" s="15">
        <v>374840</v>
      </c>
    </row>
    <row r="296" spans="1:7" x14ac:dyDescent="0.25">
      <c r="A296" s="16" t="str">
        <f t="shared" si="70"/>
        <v>PUERTA RF90 1100X2200</v>
      </c>
      <c r="B296" s="16" t="s">
        <v>39</v>
      </c>
      <c r="C296" s="15">
        <v>1100</v>
      </c>
      <c r="D296" s="21">
        <v>2200</v>
      </c>
      <c r="E296" s="15">
        <f t="shared" si="68"/>
        <v>1200</v>
      </c>
      <c r="F296" s="15">
        <f t="shared" si="69"/>
        <v>2250</v>
      </c>
      <c r="G296" s="15">
        <v>401170</v>
      </c>
    </row>
    <row r="297" spans="1:7" x14ac:dyDescent="0.25">
      <c r="A297" s="16" t="str">
        <f t="shared" si="70"/>
        <v>PUERTA RF90 1200X2200</v>
      </c>
      <c r="B297" s="16" t="s">
        <v>39</v>
      </c>
      <c r="C297" s="15">
        <v>1200</v>
      </c>
      <c r="D297" s="21">
        <v>2200</v>
      </c>
      <c r="E297" s="15">
        <f t="shared" si="68"/>
        <v>1300</v>
      </c>
      <c r="F297" s="15">
        <f t="shared" si="69"/>
        <v>2250</v>
      </c>
      <c r="G297" s="15">
        <v>445710</v>
      </c>
    </row>
    <row r="298" spans="1:7" x14ac:dyDescent="0.25">
      <c r="A298" s="16" t="str">
        <f t="shared" si="70"/>
        <v>PUERTA RF90 1300X2200</v>
      </c>
      <c r="B298" s="16" t="s">
        <v>39</v>
      </c>
      <c r="C298" s="15">
        <v>1300</v>
      </c>
      <c r="D298" s="21">
        <v>2200</v>
      </c>
      <c r="E298" s="15">
        <f t="shared" si="68"/>
        <v>1400</v>
      </c>
      <c r="F298" s="15">
        <f t="shared" si="69"/>
        <v>2250</v>
      </c>
      <c r="G298" s="15">
        <v>475580</v>
      </c>
    </row>
    <row r="299" spans="1:7" x14ac:dyDescent="0.25">
      <c r="A299" s="16" t="str">
        <f t="shared" si="70"/>
        <v>PUERTA RF90 1400X2200</v>
      </c>
      <c r="B299" s="16" t="s">
        <v>39</v>
      </c>
      <c r="C299" s="15">
        <v>1400</v>
      </c>
      <c r="D299" s="21">
        <v>2200</v>
      </c>
      <c r="E299" s="15">
        <f t="shared" si="68"/>
        <v>1500</v>
      </c>
      <c r="F299" s="15">
        <f t="shared" si="69"/>
        <v>2250</v>
      </c>
      <c r="G299" s="15">
        <v>509420</v>
      </c>
    </row>
    <row r="300" spans="1:7" x14ac:dyDescent="0.25">
      <c r="A300" s="16" t="str">
        <f t="shared" si="70"/>
        <v>PUERTA RF90 1500X2200</v>
      </c>
      <c r="B300" s="16" t="s">
        <v>39</v>
      </c>
      <c r="C300" s="15">
        <v>1500</v>
      </c>
      <c r="D300" s="21">
        <v>2200</v>
      </c>
      <c r="E300" s="15">
        <f t="shared" si="68"/>
        <v>1600</v>
      </c>
      <c r="F300" s="15">
        <f t="shared" si="69"/>
        <v>2250</v>
      </c>
      <c r="G300" s="15">
        <v>545730</v>
      </c>
    </row>
    <row r="301" spans="1:7" x14ac:dyDescent="0.25">
      <c r="A301" s="16" t="str">
        <f t="shared" si="70"/>
        <v>PUERTA RF90 1600X2200</v>
      </c>
      <c r="B301" s="16" t="s">
        <v>39</v>
      </c>
      <c r="C301" s="15">
        <v>1600</v>
      </c>
      <c r="D301" s="21">
        <v>2200</v>
      </c>
      <c r="E301" s="15">
        <f t="shared" si="68"/>
        <v>1700</v>
      </c>
      <c r="F301" s="15">
        <f t="shared" si="69"/>
        <v>2250</v>
      </c>
      <c r="G301" s="15">
        <v>583380</v>
      </c>
    </row>
    <row r="302" spans="1:7" x14ac:dyDescent="0.25">
      <c r="A302" s="16" t="str">
        <f t="shared" si="70"/>
        <v>PUERTA RF90 1700X2200</v>
      </c>
      <c r="B302" s="16" t="s">
        <v>39</v>
      </c>
      <c r="C302" s="15">
        <v>1700</v>
      </c>
      <c r="D302" s="21">
        <v>2200</v>
      </c>
      <c r="E302" s="15">
        <f t="shared" si="68"/>
        <v>1800</v>
      </c>
      <c r="F302" s="15">
        <f t="shared" si="69"/>
        <v>2250</v>
      </c>
      <c r="G302" s="15">
        <v>624040</v>
      </c>
    </row>
    <row r="303" spans="1:7" x14ac:dyDescent="0.25">
      <c r="A303" s="16" t="str">
        <f t="shared" si="70"/>
        <v>PUERTA RF90 1800X2200</v>
      </c>
      <c r="B303" s="16" t="s">
        <v>39</v>
      </c>
      <c r="C303" s="15">
        <v>1800</v>
      </c>
      <c r="D303" s="21">
        <v>2200</v>
      </c>
      <c r="E303" s="15">
        <f t="shared" si="68"/>
        <v>1900</v>
      </c>
      <c r="F303" s="15">
        <f t="shared" si="69"/>
        <v>2250</v>
      </c>
      <c r="G303" s="15">
        <v>667620</v>
      </c>
    </row>
    <row r="304" spans="1:7" x14ac:dyDescent="0.25">
      <c r="A304" s="16" t="str">
        <f t="shared" si="70"/>
        <v>PUERTA RF90 1900X2200</v>
      </c>
      <c r="B304" s="16" t="s">
        <v>39</v>
      </c>
      <c r="C304" s="15">
        <v>1900</v>
      </c>
      <c r="D304" s="21">
        <v>2200</v>
      </c>
      <c r="E304" s="15">
        <f t="shared" si="68"/>
        <v>2000</v>
      </c>
      <c r="F304" s="15">
        <f t="shared" si="69"/>
        <v>2250</v>
      </c>
      <c r="G304" s="15">
        <v>714610</v>
      </c>
    </row>
    <row r="305" spans="1:7" x14ac:dyDescent="0.25">
      <c r="A305" s="16" t="str">
        <f t="shared" si="70"/>
        <v>PUERTA RF90 2000X2200</v>
      </c>
      <c r="B305" s="16" t="s">
        <v>39</v>
      </c>
      <c r="C305" s="15">
        <v>2000</v>
      </c>
      <c r="D305" s="21">
        <v>2200</v>
      </c>
      <c r="E305" s="15">
        <f>SUM($C305,100)</f>
        <v>2100</v>
      </c>
      <c r="F305" s="15">
        <f>SUM($D305,50)</f>
        <v>2250</v>
      </c>
      <c r="G305" s="15">
        <v>764840</v>
      </c>
    </row>
    <row r="306" spans="1:7" x14ac:dyDescent="0.25">
      <c r="A306" s="16" t="str">
        <f t="shared" si="70"/>
        <v>PUERTA RF90 2100X2200</v>
      </c>
      <c r="B306" s="16" t="s">
        <v>39</v>
      </c>
      <c r="C306" s="15">
        <v>2100</v>
      </c>
      <c r="D306" s="21">
        <v>2200</v>
      </c>
      <c r="E306" s="15">
        <f>SUM($C306,100)</f>
        <v>2200</v>
      </c>
      <c r="F306" s="15">
        <f>SUM($D306,50)</f>
        <v>2250</v>
      </c>
      <c r="G306" s="15">
        <v>818140</v>
      </c>
    </row>
    <row r="307" spans="1:7" x14ac:dyDescent="0.25">
      <c r="A307" s="16" t="str">
        <f t="shared" si="70"/>
        <v>PUERTA RF90 2200X2200</v>
      </c>
      <c r="B307" s="16" t="s">
        <v>39</v>
      </c>
      <c r="C307" s="15">
        <v>2200</v>
      </c>
      <c r="D307" s="21">
        <v>2200</v>
      </c>
      <c r="E307" s="15">
        <f>SUM($C307,100)</f>
        <v>2300</v>
      </c>
      <c r="F307" s="15">
        <f t="shared" ref="F307" si="71">SUM($D307,50)</f>
        <v>2250</v>
      </c>
      <c r="G307" s="15">
        <v>859120</v>
      </c>
    </row>
    <row r="308" spans="1:7" x14ac:dyDescent="0.25">
      <c r="A308" s="16" t="str">
        <f>CONCATENATE("PUERTA ",$B308," ",$C308,"X",$D308)</f>
        <v>PUERTA RF90 600X2300</v>
      </c>
      <c r="B308" s="16" t="s">
        <v>39</v>
      </c>
      <c r="C308" s="21">
        <v>600</v>
      </c>
      <c r="D308" s="21">
        <v>2300</v>
      </c>
      <c r="E308" s="21">
        <v>800</v>
      </c>
      <c r="F308" s="21">
        <v>2050</v>
      </c>
      <c r="G308" s="15">
        <v>358790</v>
      </c>
    </row>
    <row r="309" spans="1:7" x14ac:dyDescent="0.25">
      <c r="A309" s="16" t="str">
        <f>CONCATENATE("PUERTA ",$B309," ",$C309,"X",$D309)</f>
        <v>PUERTA RF90 700X2300</v>
      </c>
      <c r="B309" s="16" t="s">
        <v>39</v>
      </c>
      <c r="C309" s="15">
        <v>700</v>
      </c>
      <c r="D309" s="21">
        <v>2300</v>
      </c>
      <c r="E309" s="15">
        <f t="shared" ref="E309:E321" si="72">SUM($C309,100)</f>
        <v>800</v>
      </c>
      <c r="F309" s="15">
        <f t="shared" ref="F309:F321" si="73">SUM($D309,50)</f>
        <v>2350</v>
      </c>
      <c r="G309" s="15">
        <v>358790</v>
      </c>
    </row>
    <row r="310" spans="1:7" x14ac:dyDescent="0.25">
      <c r="A310" s="16" t="str">
        <f t="shared" ref="A310:A324" si="74">CONCATENATE("PUERTA ",$B310," ",$C310,"X",$D310)</f>
        <v>PUERTA RF90 800X2300</v>
      </c>
      <c r="B310" s="16" t="s">
        <v>39</v>
      </c>
      <c r="C310" s="15">
        <v>800</v>
      </c>
      <c r="D310" s="21">
        <v>2300</v>
      </c>
      <c r="E310" s="15">
        <f t="shared" si="72"/>
        <v>900</v>
      </c>
      <c r="F310" s="15">
        <f t="shared" si="73"/>
        <v>2350</v>
      </c>
      <c r="G310" s="15">
        <v>358790</v>
      </c>
    </row>
    <row r="311" spans="1:7" x14ac:dyDescent="0.25">
      <c r="A311" s="16" t="str">
        <f t="shared" si="74"/>
        <v>PUERTA RF90 900X2300</v>
      </c>
      <c r="B311" s="16" t="s">
        <v>39</v>
      </c>
      <c r="C311" s="15">
        <v>900</v>
      </c>
      <c r="D311" s="21">
        <v>2300</v>
      </c>
      <c r="E311" s="15">
        <f t="shared" si="72"/>
        <v>1000</v>
      </c>
      <c r="F311" s="15">
        <f t="shared" si="73"/>
        <v>2350</v>
      </c>
      <c r="G311" s="15">
        <v>379150</v>
      </c>
    </row>
    <row r="312" spans="1:7" x14ac:dyDescent="0.25">
      <c r="A312" s="16" t="str">
        <f t="shared" si="74"/>
        <v>PUERTA RF90 1000X2300</v>
      </c>
      <c r="B312" s="16" t="s">
        <v>39</v>
      </c>
      <c r="C312" s="15">
        <v>1000</v>
      </c>
      <c r="D312" s="21">
        <v>2300</v>
      </c>
      <c r="E312" s="15">
        <f t="shared" si="72"/>
        <v>1100</v>
      </c>
      <c r="F312" s="15">
        <f t="shared" si="73"/>
        <v>2350</v>
      </c>
      <c r="G312" s="15">
        <v>406080</v>
      </c>
    </row>
    <row r="313" spans="1:7" x14ac:dyDescent="0.25">
      <c r="A313" s="16" t="str">
        <f t="shared" si="74"/>
        <v>PUERTA RF90 1100X2300</v>
      </c>
      <c r="B313" s="16" t="s">
        <v>39</v>
      </c>
      <c r="C313" s="15">
        <v>1100</v>
      </c>
      <c r="D313" s="21">
        <v>2300</v>
      </c>
      <c r="E313" s="15">
        <f t="shared" si="72"/>
        <v>1200</v>
      </c>
      <c r="F313" s="15">
        <f t="shared" si="73"/>
        <v>2350</v>
      </c>
      <c r="G313" s="15">
        <v>434590</v>
      </c>
    </row>
    <row r="314" spans="1:7" x14ac:dyDescent="0.25">
      <c r="A314" s="16" t="str">
        <f t="shared" si="74"/>
        <v>PUERTA RF90 1200X2300</v>
      </c>
      <c r="B314" s="16" t="s">
        <v>39</v>
      </c>
      <c r="C314" s="15">
        <v>1200</v>
      </c>
      <c r="D314" s="21">
        <v>2300</v>
      </c>
      <c r="E314" s="15">
        <f t="shared" si="72"/>
        <v>1300</v>
      </c>
      <c r="F314" s="15">
        <f t="shared" si="73"/>
        <v>2350</v>
      </c>
      <c r="G314" s="15">
        <v>482820</v>
      </c>
    </row>
    <row r="315" spans="1:7" x14ac:dyDescent="0.25">
      <c r="A315" s="16" t="str">
        <f t="shared" si="74"/>
        <v>PUERTA RF90 1300X2300</v>
      </c>
      <c r="B315" s="16" t="s">
        <v>39</v>
      </c>
      <c r="C315" s="15">
        <v>1300</v>
      </c>
      <c r="D315" s="21">
        <v>2300</v>
      </c>
      <c r="E315" s="15">
        <f t="shared" si="72"/>
        <v>1400</v>
      </c>
      <c r="F315" s="15">
        <f t="shared" si="73"/>
        <v>2350</v>
      </c>
      <c r="G315" s="15">
        <v>515200</v>
      </c>
    </row>
    <row r="316" spans="1:7" x14ac:dyDescent="0.25">
      <c r="A316" s="16" t="str">
        <f t="shared" si="74"/>
        <v>PUERTA RF90 1400X2300</v>
      </c>
      <c r="B316" s="16" t="s">
        <v>39</v>
      </c>
      <c r="C316" s="15">
        <v>1400</v>
      </c>
      <c r="D316" s="21">
        <v>2300</v>
      </c>
      <c r="E316" s="15">
        <f t="shared" si="72"/>
        <v>1500</v>
      </c>
      <c r="F316" s="15">
        <f t="shared" si="73"/>
        <v>2350</v>
      </c>
      <c r="G316" s="15">
        <v>551990</v>
      </c>
    </row>
    <row r="317" spans="1:7" x14ac:dyDescent="0.25">
      <c r="A317" s="16" t="str">
        <f t="shared" si="74"/>
        <v>PUERTA RF90 1500X2300</v>
      </c>
      <c r="B317" s="16" t="s">
        <v>39</v>
      </c>
      <c r="C317" s="15">
        <v>1500</v>
      </c>
      <c r="D317" s="21">
        <v>2300</v>
      </c>
      <c r="E317" s="15">
        <f t="shared" si="72"/>
        <v>1600</v>
      </c>
      <c r="F317" s="15">
        <f t="shared" si="73"/>
        <v>2350</v>
      </c>
      <c r="G317" s="15">
        <v>591180</v>
      </c>
    </row>
    <row r="318" spans="1:7" x14ac:dyDescent="0.25">
      <c r="A318" s="16" t="str">
        <f t="shared" si="74"/>
        <v>PUERTA RF90 1600X2300</v>
      </c>
      <c r="B318" s="16" t="s">
        <v>39</v>
      </c>
      <c r="C318" s="15">
        <v>1600</v>
      </c>
      <c r="D318" s="21">
        <v>2300</v>
      </c>
      <c r="E318" s="15">
        <f t="shared" si="72"/>
        <v>1700</v>
      </c>
      <c r="F318" s="15">
        <f t="shared" si="73"/>
        <v>2350</v>
      </c>
      <c r="G318" s="15">
        <v>632000</v>
      </c>
    </row>
    <row r="319" spans="1:7" x14ac:dyDescent="0.25">
      <c r="A319" s="16" t="str">
        <f t="shared" si="74"/>
        <v>PUERTA RF90 1700X2300</v>
      </c>
      <c r="B319" s="16" t="s">
        <v>39</v>
      </c>
      <c r="C319" s="15">
        <v>1700</v>
      </c>
      <c r="D319" s="21">
        <v>2300</v>
      </c>
      <c r="E319" s="15">
        <f t="shared" si="72"/>
        <v>1800</v>
      </c>
      <c r="F319" s="15">
        <f t="shared" si="73"/>
        <v>2350</v>
      </c>
      <c r="G319" s="15">
        <v>676050</v>
      </c>
    </row>
    <row r="320" spans="1:7" x14ac:dyDescent="0.25">
      <c r="A320" s="16" t="str">
        <f t="shared" si="74"/>
        <v>PUERTA RF90 1800X2300</v>
      </c>
      <c r="B320" s="16" t="s">
        <v>39</v>
      </c>
      <c r="C320" s="15">
        <v>1800</v>
      </c>
      <c r="D320" s="21">
        <v>2300</v>
      </c>
      <c r="E320" s="15">
        <f t="shared" si="72"/>
        <v>1900</v>
      </c>
      <c r="F320" s="15">
        <f t="shared" si="73"/>
        <v>2350</v>
      </c>
      <c r="G320" s="15">
        <v>723280</v>
      </c>
    </row>
    <row r="321" spans="1:7" x14ac:dyDescent="0.25">
      <c r="A321" s="16" t="str">
        <f t="shared" si="74"/>
        <v>PUERTA RF90 1900X2300</v>
      </c>
      <c r="B321" s="16" t="s">
        <v>39</v>
      </c>
      <c r="C321" s="15">
        <v>1900</v>
      </c>
      <c r="D321" s="21">
        <v>2300</v>
      </c>
      <c r="E321" s="15">
        <f t="shared" si="72"/>
        <v>2000</v>
      </c>
      <c r="F321" s="15">
        <f t="shared" si="73"/>
        <v>2350</v>
      </c>
      <c r="G321" s="15">
        <v>774150</v>
      </c>
    </row>
    <row r="322" spans="1:7" x14ac:dyDescent="0.25">
      <c r="A322" s="16" t="str">
        <f t="shared" si="74"/>
        <v>PUERTA RF90 2000X2300</v>
      </c>
      <c r="B322" s="16" t="s">
        <v>39</v>
      </c>
      <c r="C322" s="15">
        <v>2000</v>
      </c>
      <c r="D322" s="21">
        <v>2300</v>
      </c>
      <c r="E322" s="15">
        <f>SUM($C322,100)</f>
        <v>2100</v>
      </c>
      <c r="F322" s="15">
        <f>SUM($D322,50)</f>
        <v>2350</v>
      </c>
      <c r="G322" s="15">
        <v>828450</v>
      </c>
    </row>
    <row r="323" spans="1:7" x14ac:dyDescent="0.25">
      <c r="A323" s="16" t="str">
        <f t="shared" si="74"/>
        <v>PUERTA RF90 2100X2300</v>
      </c>
      <c r="B323" s="16" t="s">
        <v>39</v>
      </c>
      <c r="C323" s="15">
        <v>2100</v>
      </c>
      <c r="D323" s="21">
        <v>2300</v>
      </c>
      <c r="E323" s="15">
        <f>SUM($C323,100)</f>
        <v>2200</v>
      </c>
      <c r="F323" s="15">
        <f>SUM($D323,50)</f>
        <v>2350</v>
      </c>
      <c r="G323" s="15">
        <v>886340</v>
      </c>
    </row>
    <row r="324" spans="1:7" x14ac:dyDescent="0.25">
      <c r="A324" s="16" t="str">
        <f t="shared" si="74"/>
        <v>PUERTA RF90 2200X2300</v>
      </c>
      <c r="B324" s="16" t="s">
        <v>39</v>
      </c>
      <c r="C324" s="15">
        <v>2200</v>
      </c>
      <c r="D324" s="21">
        <v>2300</v>
      </c>
      <c r="E324" s="15">
        <f>SUM($C324,100)</f>
        <v>2300</v>
      </c>
      <c r="F324" s="15">
        <f t="shared" ref="F324" si="75">SUM($D324,50)</f>
        <v>2350</v>
      </c>
      <c r="G324" s="15">
        <v>930750</v>
      </c>
    </row>
    <row r="325" spans="1:7" x14ac:dyDescent="0.25">
      <c r="A325" s="16" t="str">
        <f>CONCATENATE("PUERTA ",$B325," ",$C325,"X",$D325)</f>
        <v>PUERTA RF90 600X2400</v>
      </c>
      <c r="B325" s="16" t="s">
        <v>39</v>
      </c>
      <c r="C325" s="21">
        <v>600</v>
      </c>
      <c r="D325" s="21">
        <v>2400</v>
      </c>
      <c r="E325" s="21">
        <v>800</v>
      </c>
      <c r="F325" s="21">
        <v>2050</v>
      </c>
      <c r="G325" s="15">
        <v>386430</v>
      </c>
    </row>
    <row r="326" spans="1:7" x14ac:dyDescent="0.25">
      <c r="A326" s="16" t="str">
        <f>CONCATENATE("PUERTA ",$B326," ",$C326,"X",$D326)</f>
        <v>PUERTA RF90 700X2400</v>
      </c>
      <c r="B326" s="16" t="s">
        <v>39</v>
      </c>
      <c r="C326" s="15">
        <v>700</v>
      </c>
      <c r="D326" s="21">
        <v>2400</v>
      </c>
      <c r="E326" s="15">
        <f t="shared" ref="E326:E338" si="76">SUM($C326,100)</f>
        <v>800</v>
      </c>
      <c r="F326" s="15">
        <f t="shared" ref="F326:F338" si="77">SUM($D326,50)</f>
        <v>2450</v>
      </c>
      <c r="G326" s="15">
        <v>386430</v>
      </c>
    </row>
    <row r="327" spans="1:7" x14ac:dyDescent="0.25">
      <c r="A327" s="16" t="str">
        <f t="shared" ref="A327:A341" si="78">CONCATENATE("PUERTA ",$B327," ",$C327,"X",$D327)</f>
        <v>PUERTA RF90 800X2400</v>
      </c>
      <c r="B327" s="16" t="s">
        <v>39</v>
      </c>
      <c r="C327" s="15">
        <v>800</v>
      </c>
      <c r="D327" s="21">
        <v>2400</v>
      </c>
      <c r="E327" s="15">
        <f t="shared" si="76"/>
        <v>900</v>
      </c>
      <c r="F327" s="15">
        <f t="shared" si="77"/>
        <v>2450</v>
      </c>
      <c r="G327" s="15">
        <v>386430</v>
      </c>
    </row>
    <row r="328" spans="1:7" x14ac:dyDescent="0.25">
      <c r="A328" s="16" t="str">
        <f t="shared" si="78"/>
        <v>PUERTA RF90 900X2400</v>
      </c>
      <c r="B328" s="16" t="s">
        <v>39</v>
      </c>
      <c r="C328" s="15">
        <v>900</v>
      </c>
      <c r="D328" s="21">
        <v>2400</v>
      </c>
      <c r="E328" s="15">
        <f t="shared" si="76"/>
        <v>1000</v>
      </c>
      <c r="F328" s="15">
        <f t="shared" si="77"/>
        <v>2450</v>
      </c>
      <c r="G328" s="15">
        <v>408300</v>
      </c>
    </row>
    <row r="329" spans="1:7" x14ac:dyDescent="0.25">
      <c r="A329" s="16" t="str">
        <f t="shared" si="78"/>
        <v>PUERTA RF90 1000X2400</v>
      </c>
      <c r="B329" s="16" t="s">
        <v>39</v>
      </c>
      <c r="C329" s="15">
        <v>1000</v>
      </c>
      <c r="D329" s="21">
        <v>2400</v>
      </c>
      <c r="E329" s="15">
        <f t="shared" si="76"/>
        <v>1100</v>
      </c>
      <c r="F329" s="15">
        <f t="shared" si="77"/>
        <v>2450</v>
      </c>
      <c r="G329" s="15">
        <v>437330</v>
      </c>
    </row>
    <row r="330" spans="1:7" x14ac:dyDescent="0.25">
      <c r="A330" s="16" t="str">
        <f t="shared" si="78"/>
        <v>PUERTA RF90 1100X2400</v>
      </c>
      <c r="B330" s="16" t="s">
        <v>39</v>
      </c>
      <c r="C330" s="15">
        <v>1100</v>
      </c>
      <c r="D330" s="21">
        <v>2400</v>
      </c>
      <c r="E330" s="15">
        <f t="shared" si="76"/>
        <v>1200</v>
      </c>
      <c r="F330" s="15">
        <f t="shared" si="77"/>
        <v>2450</v>
      </c>
      <c r="G330" s="15">
        <v>468070</v>
      </c>
    </row>
    <row r="331" spans="1:7" x14ac:dyDescent="0.25">
      <c r="A331" s="16" t="str">
        <f t="shared" si="78"/>
        <v>PUERTA RF90 1200X2400</v>
      </c>
      <c r="B331" s="16" t="s">
        <v>39</v>
      </c>
      <c r="C331" s="15">
        <v>1200</v>
      </c>
      <c r="D331" s="21">
        <v>2400</v>
      </c>
      <c r="E331" s="15">
        <f t="shared" si="76"/>
        <v>1300</v>
      </c>
      <c r="F331" s="15">
        <f t="shared" si="77"/>
        <v>2450</v>
      </c>
      <c r="G331" s="15">
        <v>519950</v>
      </c>
    </row>
    <row r="332" spans="1:7" x14ac:dyDescent="0.25">
      <c r="A332" s="16" t="str">
        <f t="shared" si="78"/>
        <v>PUERTA RF90 1300X2400</v>
      </c>
      <c r="B332" s="16" t="s">
        <v>39</v>
      </c>
      <c r="C332" s="15">
        <v>1300</v>
      </c>
      <c r="D332" s="21">
        <v>2400</v>
      </c>
      <c r="E332" s="15">
        <f t="shared" si="76"/>
        <v>1400</v>
      </c>
      <c r="F332" s="15">
        <f t="shared" si="77"/>
        <v>2450</v>
      </c>
      <c r="G332" s="15">
        <v>554880</v>
      </c>
    </row>
    <row r="333" spans="1:7" x14ac:dyDescent="0.25">
      <c r="A333" s="16" t="str">
        <f t="shared" si="78"/>
        <v>PUERTA RF90 1400X2400</v>
      </c>
      <c r="B333" s="16" t="s">
        <v>39</v>
      </c>
      <c r="C333" s="15">
        <v>1400</v>
      </c>
      <c r="D333" s="21">
        <v>2400</v>
      </c>
      <c r="E333" s="15">
        <f t="shared" si="76"/>
        <v>1500</v>
      </c>
      <c r="F333" s="15">
        <f t="shared" si="77"/>
        <v>2450</v>
      </c>
      <c r="G333" s="15">
        <v>594350</v>
      </c>
    </row>
    <row r="334" spans="1:7" x14ac:dyDescent="0.25">
      <c r="A334" s="16" t="str">
        <f t="shared" si="78"/>
        <v>PUERTA RF90 1500X2400</v>
      </c>
      <c r="B334" s="16" t="s">
        <v>39</v>
      </c>
      <c r="C334" s="15">
        <v>1500</v>
      </c>
      <c r="D334" s="21">
        <v>2400</v>
      </c>
      <c r="E334" s="15">
        <f t="shared" si="76"/>
        <v>1600</v>
      </c>
      <c r="F334" s="15">
        <f t="shared" si="77"/>
        <v>2450</v>
      </c>
      <c r="G334" s="15">
        <v>636640</v>
      </c>
    </row>
    <row r="335" spans="1:7" x14ac:dyDescent="0.25">
      <c r="A335" s="16" t="str">
        <f t="shared" si="78"/>
        <v>PUERTA RF90 1600X2400</v>
      </c>
      <c r="B335" s="16" t="s">
        <v>39</v>
      </c>
      <c r="C335" s="15">
        <v>1600</v>
      </c>
      <c r="D335" s="21">
        <v>2400</v>
      </c>
      <c r="E335" s="15">
        <f t="shared" si="76"/>
        <v>1700</v>
      </c>
      <c r="F335" s="15">
        <f t="shared" si="77"/>
        <v>2450</v>
      </c>
      <c r="G335" s="15">
        <v>680580</v>
      </c>
    </row>
    <row r="336" spans="1:7" x14ac:dyDescent="0.25">
      <c r="A336" s="16" t="str">
        <f t="shared" si="78"/>
        <v>PUERTA RF90 1700X2400</v>
      </c>
      <c r="B336" s="16" t="s">
        <v>39</v>
      </c>
      <c r="C336" s="15">
        <v>1700</v>
      </c>
      <c r="D336" s="21">
        <v>2400</v>
      </c>
      <c r="E336" s="15">
        <f t="shared" si="76"/>
        <v>1800</v>
      </c>
      <c r="F336" s="15">
        <f t="shared" si="77"/>
        <v>2450</v>
      </c>
      <c r="G336" s="15">
        <v>728040</v>
      </c>
    </row>
    <row r="337" spans="1:7" x14ac:dyDescent="0.25">
      <c r="A337" s="16" t="str">
        <f t="shared" si="78"/>
        <v>PUERTA RF90 1800X2400</v>
      </c>
      <c r="B337" s="16" t="s">
        <v>39</v>
      </c>
      <c r="C337" s="15">
        <v>1800</v>
      </c>
      <c r="D337" s="21">
        <v>2400</v>
      </c>
      <c r="E337" s="15">
        <f t="shared" si="76"/>
        <v>1900</v>
      </c>
      <c r="F337" s="15">
        <f t="shared" si="77"/>
        <v>2450</v>
      </c>
      <c r="G337" s="15">
        <v>778930</v>
      </c>
    </row>
    <row r="338" spans="1:7" x14ac:dyDescent="0.25">
      <c r="A338" s="16" t="str">
        <f t="shared" si="78"/>
        <v>PUERTA RF90 1900X2400</v>
      </c>
      <c r="B338" s="16" t="s">
        <v>39</v>
      </c>
      <c r="C338" s="15">
        <v>1900</v>
      </c>
      <c r="D338" s="21">
        <v>2400</v>
      </c>
      <c r="E338" s="15">
        <f t="shared" si="76"/>
        <v>2000</v>
      </c>
      <c r="F338" s="15">
        <f t="shared" si="77"/>
        <v>2450</v>
      </c>
      <c r="G338" s="15">
        <v>833650</v>
      </c>
    </row>
    <row r="339" spans="1:7" x14ac:dyDescent="0.25">
      <c r="A339" s="16" t="str">
        <f t="shared" si="78"/>
        <v>PUERTA RF90 2000X2400</v>
      </c>
      <c r="B339" s="16" t="s">
        <v>39</v>
      </c>
      <c r="C339" s="15">
        <v>2000</v>
      </c>
      <c r="D339" s="21">
        <v>2400</v>
      </c>
      <c r="E339" s="15">
        <f>SUM($C339,100)</f>
        <v>2100</v>
      </c>
      <c r="F339" s="15">
        <f>SUM($D339,50)</f>
        <v>2450</v>
      </c>
      <c r="G339" s="15">
        <v>892180</v>
      </c>
    </row>
    <row r="340" spans="1:7" x14ac:dyDescent="0.25">
      <c r="A340" s="16" t="str">
        <f t="shared" si="78"/>
        <v>PUERTA RF90 2100X2400</v>
      </c>
      <c r="B340" s="16" t="s">
        <v>39</v>
      </c>
      <c r="C340" s="15">
        <v>2100</v>
      </c>
      <c r="D340" s="21">
        <v>2400</v>
      </c>
      <c r="E340" s="15">
        <f>SUM($C340,100)</f>
        <v>2200</v>
      </c>
      <c r="F340" s="15">
        <f>SUM($D340,50)</f>
        <v>2450</v>
      </c>
      <c r="G340" s="15">
        <v>954540</v>
      </c>
    </row>
    <row r="341" spans="1:7" x14ac:dyDescent="0.25">
      <c r="A341" s="16" t="str">
        <f t="shared" si="78"/>
        <v>PUERTA RF90 2200X2400</v>
      </c>
      <c r="B341" s="16" t="s">
        <v>39</v>
      </c>
      <c r="C341" s="15">
        <v>2200</v>
      </c>
      <c r="D341" s="21">
        <v>2400</v>
      </c>
      <c r="E341" s="15">
        <f>SUM($C341,100)</f>
        <v>2300</v>
      </c>
      <c r="F341" s="15">
        <f t="shared" ref="F341" si="79">SUM($D341,50)</f>
        <v>2450</v>
      </c>
      <c r="G341" s="15">
        <v>1002290</v>
      </c>
    </row>
    <row r="342" spans="1:7" x14ac:dyDescent="0.25">
      <c r="A342" s="16" t="str">
        <f>CONCATENATE("PUERTA ",$B342," ",$C342,"X",$D342)</f>
        <v>PUERTA RF120 600X2000</v>
      </c>
      <c r="B342" s="16" t="s">
        <v>41</v>
      </c>
      <c r="C342" s="21">
        <v>600</v>
      </c>
      <c r="D342" s="21">
        <v>2000</v>
      </c>
      <c r="E342" s="21">
        <v>800</v>
      </c>
      <c r="F342" s="21">
        <v>2050</v>
      </c>
      <c r="G342" s="15">
        <v>278860</v>
      </c>
    </row>
    <row r="343" spans="1:7" x14ac:dyDescent="0.25">
      <c r="A343" s="16" t="str">
        <f>CONCATENATE("PUERTA ",$B343," ",$C343,"X",$D343)</f>
        <v>PUERTA RF120 700X2000</v>
      </c>
      <c r="B343" s="16" t="s">
        <v>41</v>
      </c>
      <c r="C343" s="15">
        <v>700</v>
      </c>
      <c r="D343" s="15">
        <v>2000</v>
      </c>
      <c r="E343" s="15">
        <f t="shared" ref="E343:E355" si="80">SUM($C343,100)</f>
        <v>800</v>
      </c>
      <c r="F343" s="15">
        <f t="shared" ref="F343:F355" si="81">SUM($D343,50)</f>
        <v>2050</v>
      </c>
      <c r="G343" s="15">
        <v>278860</v>
      </c>
    </row>
    <row r="344" spans="1:7" x14ac:dyDescent="0.25">
      <c r="A344" s="16" t="str">
        <f t="shared" ref="A344:A358" si="82">CONCATENATE("PUERTA ",$B344," ",$C344,"X",$D344)</f>
        <v>PUERTA RF120 800X2000</v>
      </c>
      <c r="B344" s="16" t="s">
        <v>41</v>
      </c>
      <c r="C344" s="15">
        <v>800</v>
      </c>
      <c r="D344" s="15">
        <v>2000</v>
      </c>
      <c r="E344" s="15">
        <f t="shared" si="80"/>
        <v>900</v>
      </c>
      <c r="F344" s="15">
        <f t="shared" si="81"/>
        <v>2050</v>
      </c>
      <c r="G344" s="15">
        <v>278860</v>
      </c>
    </row>
    <row r="345" spans="1:7" x14ac:dyDescent="0.25">
      <c r="A345" s="16" t="str">
        <f t="shared" si="82"/>
        <v>PUERTA RF120 900X2000</v>
      </c>
      <c r="B345" s="16" t="s">
        <v>41</v>
      </c>
      <c r="C345" s="15">
        <v>900</v>
      </c>
      <c r="D345" s="15">
        <v>2000</v>
      </c>
      <c r="E345" s="15">
        <f t="shared" si="80"/>
        <v>1000</v>
      </c>
      <c r="F345" s="15">
        <f t="shared" si="81"/>
        <v>2050</v>
      </c>
      <c r="G345" s="15">
        <v>298570</v>
      </c>
    </row>
    <row r="346" spans="1:7" x14ac:dyDescent="0.25">
      <c r="A346" s="16" t="str">
        <f t="shared" si="82"/>
        <v>PUERTA RF120 1000X2000</v>
      </c>
      <c r="B346" s="16" t="s">
        <v>41</v>
      </c>
      <c r="C346" s="15">
        <v>1000</v>
      </c>
      <c r="D346" s="15">
        <v>2000</v>
      </c>
      <c r="E346" s="15">
        <f t="shared" si="80"/>
        <v>1100</v>
      </c>
      <c r="F346" s="15">
        <f t="shared" si="81"/>
        <v>2050</v>
      </c>
      <c r="G346" s="15">
        <v>318230</v>
      </c>
    </row>
    <row r="347" spans="1:7" x14ac:dyDescent="0.25">
      <c r="A347" s="16" t="str">
        <f t="shared" si="82"/>
        <v>PUERTA RF120 1100X2000</v>
      </c>
      <c r="B347" s="16" t="s">
        <v>41</v>
      </c>
      <c r="C347" s="15">
        <v>1100</v>
      </c>
      <c r="D347" s="15">
        <v>2000</v>
      </c>
      <c r="E347" s="15">
        <f t="shared" si="80"/>
        <v>1200</v>
      </c>
      <c r="F347" s="15">
        <f t="shared" si="81"/>
        <v>2050</v>
      </c>
      <c r="G347" s="15">
        <v>340090</v>
      </c>
    </row>
    <row r="348" spans="1:7" x14ac:dyDescent="0.25">
      <c r="A348" s="16" t="str">
        <f t="shared" si="82"/>
        <v>PUERTA RF120 1200X2000</v>
      </c>
      <c r="B348" s="16" t="s">
        <v>41</v>
      </c>
      <c r="C348" s="15">
        <v>1200</v>
      </c>
      <c r="D348" s="15">
        <v>2000</v>
      </c>
      <c r="E348" s="15">
        <f t="shared" si="80"/>
        <v>1300</v>
      </c>
      <c r="F348" s="15">
        <f t="shared" si="81"/>
        <v>2050</v>
      </c>
      <c r="G348" s="15">
        <v>420410</v>
      </c>
    </row>
    <row r="349" spans="1:7" x14ac:dyDescent="0.25">
      <c r="A349" s="16" t="str">
        <f t="shared" si="82"/>
        <v>PUERTA RF120 1300X2000</v>
      </c>
      <c r="B349" s="16" t="s">
        <v>41</v>
      </c>
      <c r="C349" s="15">
        <v>1300</v>
      </c>
      <c r="D349" s="15">
        <v>2000</v>
      </c>
      <c r="E349" s="15">
        <f t="shared" si="80"/>
        <v>1400</v>
      </c>
      <c r="F349" s="15">
        <f t="shared" si="81"/>
        <v>2050</v>
      </c>
      <c r="G349" s="15">
        <v>478920</v>
      </c>
    </row>
    <row r="350" spans="1:7" x14ac:dyDescent="0.25">
      <c r="A350" s="16" t="str">
        <f t="shared" si="82"/>
        <v>PUERTA RF120 1400X2000</v>
      </c>
      <c r="B350" s="16" t="s">
        <v>41</v>
      </c>
      <c r="C350" s="15">
        <v>1400</v>
      </c>
      <c r="D350" s="15">
        <v>2000</v>
      </c>
      <c r="E350" s="15">
        <f t="shared" si="80"/>
        <v>1500</v>
      </c>
      <c r="F350" s="15">
        <f t="shared" si="81"/>
        <v>2050</v>
      </c>
      <c r="G350" s="15">
        <v>507250</v>
      </c>
    </row>
    <row r="351" spans="1:7" x14ac:dyDescent="0.25">
      <c r="A351" s="16" t="str">
        <f t="shared" si="82"/>
        <v>PUERTA RF120 1500X2000</v>
      </c>
      <c r="B351" s="16" t="s">
        <v>41</v>
      </c>
      <c r="C351" s="15">
        <v>1500</v>
      </c>
      <c r="D351" s="15">
        <v>2000</v>
      </c>
      <c r="E351" s="15">
        <f t="shared" si="80"/>
        <v>1600</v>
      </c>
      <c r="F351" s="15">
        <f t="shared" si="81"/>
        <v>2050</v>
      </c>
      <c r="G351" s="15">
        <v>551270</v>
      </c>
    </row>
    <row r="352" spans="1:7" x14ac:dyDescent="0.25">
      <c r="A352" s="16" t="str">
        <f t="shared" si="82"/>
        <v>PUERTA RF120 1600X2000</v>
      </c>
      <c r="B352" s="16" t="s">
        <v>41</v>
      </c>
      <c r="C352" s="15">
        <v>1600</v>
      </c>
      <c r="D352" s="15">
        <v>2000</v>
      </c>
      <c r="E352" s="15">
        <f t="shared" si="80"/>
        <v>1700</v>
      </c>
      <c r="F352" s="15">
        <f t="shared" si="81"/>
        <v>2050</v>
      </c>
      <c r="G352" s="15">
        <v>589910</v>
      </c>
    </row>
    <row r="353" spans="1:7" x14ac:dyDescent="0.25">
      <c r="A353" s="16" t="str">
        <f t="shared" si="82"/>
        <v>PUERTA RF120 1700X2000</v>
      </c>
      <c r="B353" s="16" t="s">
        <v>41</v>
      </c>
      <c r="C353" s="15">
        <v>1700</v>
      </c>
      <c r="D353" s="15">
        <v>2000</v>
      </c>
      <c r="E353" s="15">
        <f t="shared" si="80"/>
        <v>1800</v>
      </c>
      <c r="F353" s="15">
        <f t="shared" si="81"/>
        <v>2050</v>
      </c>
      <c r="G353" s="15">
        <v>635100</v>
      </c>
    </row>
    <row r="354" spans="1:7" x14ac:dyDescent="0.25">
      <c r="A354" s="16" t="str">
        <f t="shared" si="82"/>
        <v>PUERTA RF120 1800X2000</v>
      </c>
      <c r="B354" s="16" t="s">
        <v>41</v>
      </c>
      <c r="C354" s="15">
        <v>1800</v>
      </c>
      <c r="D354" s="15">
        <v>2000</v>
      </c>
      <c r="E354" s="15">
        <f t="shared" si="80"/>
        <v>1900</v>
      </c>
      <c r="F354" s="15">
        <f t="shared" si="81"/>
        <v>2050</v>
      </c>
      <c r="G354" s="15">
        <v>673150</v>
      </c>
    </row>
    <row r="355" spans="1:7" x14ac:dyDescent="0.25">
      <c r="A355" s="16" t="str">
        <f t="shared" si="82"/>
        <v>PUERTA RF120 1900X2000</v>
      </c>
      <c r="B355" s="16" t="s">
        <v>41</v>
      </c>
      <c r="C355" s="15">
        <v>1900</v>
      </c>
      <c r="D355" s="15">
        <v>2000</v>
      </c>
      <c r="E355" s="15">
        <f t="shared" si="80"/>
        <v>2000</v>
      </c>
      <c r="F355" s="15">
        <f t="shared" si="81"/>
        <v>2050</v>
      </c>
      <c r="G355" s="15">
        <v>709270</v>
      </c>
    </row>
    <row r="356" spans="1:7" x14ac:dyDescent="0.25">
      <c r="A356" s="16" t="str">
        <f t="shared" si="82"/>
        <v>PUERTA RF120 2000X2000</v>
      </c>
      <c r="B356" s="16" t="s">
        <v>41</v>
      </c>
      <c r="C356" s="15">
        <v>2000</v>
      </c>
      <c r="D356" s="15">
        <v>2000</v>
      </c>
      <c r="E356" s="15">
        <f>SUM($C356,100)</f>
        <v>2100</v>
      </c>
      <c r="F356" s="15">
        <f>SUM($D356,50)</f>
        <v>2050</v>
      </c>
      <c r="G356" s="15">
        <v>760050</v>
      </c>
    </row>
    <row r="357" spans="1:7" x14ac:dyDescent="0.25">
      <c r="A357" s="16" t="str">
        <f t="shared" si="82"/>
        <v>PUERTA RF120 2100X2000</v>
      </c>
      <c r="B357" s="16" t="s">
        <v>41</v>
      </c>
      <c r="C357" s="15">
        <v>2100</v>
      </c>
      <c r="D357" s="15">
        <v>2000</v>
      </c>
      <c r="E357" s="15">
        <f>SUM($C357,100)</f>
        <v>2200</v>
      </c>
      <c r="F357" s="15">
        <f>SUM($D357,50)</f>
        <v>2050</v>
      </c>
      <c r="G357" s="15">
        <v>799760</v>
      </c>
    </row>
    <row r="358" spans="1:7" x14ac:dyDescent="0.25">
      <c r="A358" s="16" t="str">
        <f t="shared" si="82"/>
        <v>PUERTA RF120 2200X2000</v>
      </c>
      <c r="B358" s="16" t="s">
        <v>41</v>
      </c>
      <c r="C358" s="15">
        <v>2200</v>
      </c>
      <c r="D358" s="15">
        <v>2000</v>
      </c>
      <c r="E358" s="15">
        <f>SUM($C358,100)</f>
        <v>2300</v>
      </c>
      <c r="F358" s="15">
        <f t="shared" ref="F358" si="83">SUM($D358,50)</f>
        <v>2050</v>
      </c>
      <c r="G358" s="15">
        <v>839750</v>
      </c>
    </row>
    <row r="359" spans="1:7" x14ac:dyDescent="0.25">
      <c r="A359" s="16" t="str">
        <f>CONCATENATE("PUERTA ",$B359," ",$C359,"X",$D359)</f>
        <v>PUERTA RF120 600X2100</v>
      </c>
      <c r="B359" s="16" t="s">
        <v>41</v>
      </c>
      <c r="C359" s="21">
        <v>600</v>
      </c>
      <c r="D359" s="21">
        <v>2100</v>
      </c>
      <c r="E359" s="21">
        <v>800</v>
      </c>
      <c r="F359" s="21">
        <v>2050</v>
      </c>
      <c r="G359" s="15">
        <v>306840</v>
      </c>
    </row>
    <row r="360" spans="1:7" x14ac:dyDescent="0.25">
      <c r="A360" s="16" t="str">
        <f>CONCATENATE("PUERTA ",$B360," ",$C360,"X",$D360)</f>
        <v>PUERTA RF120 700X2100</v>
      </c>
      <c r="B360" s="16" t="s">
        <v>41</v>
      </c>
      <c r="C360" s="15">
        <v>700</v>
      </c>
      <c r="D360" s="21">
        <v>2100</v>
      </c>
      <c r="E360" s="15">
        <f t="shared" ref="E360:E372" si="84">SUM($C360,100)</f>
        <v>800</v>
      </c>
      <c r="F360" s="15">
        <f t="shared" ref="F360:F372" si="85">SUM($D360,50)</f>
        <v>2150</v>
      </c>
      <c r="G360" s="15">
        <v>306840</v>
      </c>
    </row>
    <row r="361" spans="1:7" x14ac:dyDescent="0.25">
      <c r="A361" s="16" t="str">
        <f t="shared" ref="A361:A375" si="86">CONCATENATE("PUERTA ",$B361," ",$C361,"X",$D361)</f>
        <v>PUERTA RF120 800X2100</v>
      </c>
      <c r="B361" s="16" t="s">
        <v>41</v>
      </c>
      <c r="C361" s="15">
        <v>800</v>
      </c>
      <c r="D361" s="21">
        <v>2100</v>
      </c>
      <c r="E361" s="15">
        <f t="shared" si="84"/>
        <v>900</v>
      </c>
      <c r="F361" s="15">
        <f t="shared" si="85"/>
        <v>2150</v>
      </c>
      <c r="G361" s="15">
        <v>306840</v>
      </c>
    </row>
    <row r="362" spans="1:7" x14ac:dyDescent="0.25">
      <c r="A362" s="16" t="str">
        <f t="shared" si="86"/>
        <v>PUERTA RF120 900X2100</v>
      </c>
      <c r="B362" s="16" t="s">
        <v>41</v>
      </c>
      <c r="C362" s="15">
        <v>900</v>
      </c>
      <c r="D362" s="21">
        <v>2100</v>
      </c>
      <c r="E362" s="15">
        <f t="shared" si="84"/>
        <v>1000</v>
      </c>
      <c r="F362" s="15">
        <f t="shared" si="85"/>
        <v>2150</v>
      </c>
      <c r="G362" s="15">
        <v>328480</v>
      </c>
    </row>
    <row r="363" spans="1:7" x14ac:dyDescent="0.25">
      <c r="A363" s="16" t="str">
        <f t="shared" si="86"/>
        <v>PUERTA RF120 1000X2100</v>
      </c>
      <c r="B363" s="16" t="s">
        <v>41</v>
      </c>
      <c r="C363" s="15">
        <v>1000</v>
      </c>
      <c r="D363" s="21">
        <v>2100</v>
      </c>
      <c r="E363" s="15">
        <f t="shared" si="84"/>
        <v>1100</v>
      </c>
      <c r="F363" s="15">
        <f t="shared" si="85"/>
        <v>2150</v>
      </c>
      <c r="G363" s="15">
        <v>350050</v>
      </c>
    </row>
    <row r="364" spans="1:7" x14ac:dyDescent="0.25">
      <c r="A364" s="16" t="str">
        <f t="shared" si="86"/>
        <v>PUERTA RF120 1100X2100</v>
      </c>
      <c r="B364" s="16" t="s">
        <v>41</v>
      </c>
      <c r="C364" s="15">
        <v>1100</v>
      </c>
      <c r="D364" s="21">
        <v>2100</v>
      </c>
      <c r="E364" s="15">
        <f t="shared" si="84"/>
        <v>1200</v>
      </c>
      <c r="F364" s="15">
        <f t="shared" si="85"/>
        <v>2150</v>
      </c>
      <c r="G364" s="15">
        <v>374090</v>
      </c>
    </row>
    <row r="365" spans="1:7" x14ac:dyDescent="0.25">
      <c r="A365" s="16" t="str">
        <f t="shared" si="86"/>
        <v>PUERTA RF120 1200X2100</v>
      </c>
      <c r="B365" s="16" t="s">
        <v>41</v>
      </c>
      <c r="C365" s="15">
        <v>1200</v>
      </c>
      <c r="D365" s="21">
        <v>2100</v>
      </c>
      <c r="E365" s="15">
        <f t="shared" si="84"/>
        <v>1300</v>
      </c>
      <c r="F365" s="15">
        <f t="shared" si="85"/>
        <v>2150</v>
      </c>
      <c r="G365" s="15">
        <v>462440</v>
      </c>
    </row>
    <row r="366" spans="1:7" x14ac:dyDescent="0.25">
      <c r="A366" s="16" t="str">
        <f t="shared" si="86"/>
        <v>PUERTA RF120 1300X2100</v>
      </c>
      <c r="B366" s="16" t="s">
        <v>41</v>
      </c>
      <c r="C366" s="15">
        <v>1300</v>
      </c>
      <c r="D366" s="21">
        <v>2100</v>
      </c>
      <c r="E366" s="15">
        <f t="shared" si="84"/>
        <v>1400</v>
      </c>
      <c r="F366" s="15">
        <f t="shared" si="85"/>
        <v>2150</v>
      </c>
      <c r="G366" s="15">
        <v>526800</v>
      </c>
    </row>
    <row r="367" spans="1:7" x14ac:dyDescent="0.25">
      <c r="A367" s="16" t="str">
        <f t="shared" si="86"/>
        <v>PUERTA RF120 1400X2100</v>
      </c>
      <c r="B367" s="16" t="s">
        <v>41</v>
      </c>
      <c r="C367" s="15">
        <v>1400</v>
      </c>
      <c r="D367" s="21">
        <v>2100</v>
      </c>
      <c r="E367" s="15">
        <f t="shared" si="84"/>
        <v>1500</v>
      </c>
      <c r="F367" s="15">
        <f t="shared" si="85"/>
        <v>2150</v>
      </c>
      <c r="G367" s="15">
        <v>557920</v>
      </c>
    </row>
    <row r="368" spans="1:7" x14ac:dyDescent="0.25">
      <c r="A368" s="16" t="str">
        <f t="shared" si="86"/>
        <v>PUERTA RF120 1500X2100</v>
      </c>
      <c r="B368" s="16" t="s">
        <v>41</v>
      </c>
      <c r="C368" s="15">
        <v>1500</v>
      </c>
      <c r="D368" s="21">
        <v>2100</v>
      </c>
      <c r="E368" s="15">
        <f t="shared" si="84"/>
        <v>1600</v>
      </c>
      <c r="F368" s="15">
        <f t="shared" si="85"/>
        <v>2150</v>
      </c>
      <c r="G368" s="15">
        <v>606420</v>
      </c>
    </row>
    <row r="369" spans="1:7" x14ac:dyDescent="0.25">
      <c r="A369" s="16" t="str">
        <f t="shared" si="86"/>
        <v>PUERTA RF120 1600X2100</v>
      </c>
      <c r="B369" s="16" t="s">
        <v>41</v>
      </c>
      <c r="C369" s="15">
        <v>1600</v>
      </c>
      <c r="D369" s="21">
        <v>2100</v>
      </c>
      <c r="E369" s="15">
        <f t="shared" si="84"/>
        <v>1700</v>
      </c>
      <c r="F369" s="15">
        <f t="shared" si="85"/>
        <v>2150</v>
      </c>
      <c r="G369" s="15">
        <v>648930</v>
      </c>
    </row>
    <row r="370" spans="1:7" x14ac:dyDescent="0.25">
      <c r="A370" s="16" t="str">
        <f t="shared" si="86"/>
        <v>PUERTA RF120 1700X2100</v>
      </c>
      <c r="B370" s="16" t="s">
        <v>41</v>
      </c>
      <c r="C370" s="15">
        <v>1700</v>
      </c>
      <c r="D370" s="21">
        <v>2100</v>
      </c>
      <c r="E370" s="15">
        <f t="shared" si="84"/>
        <v>1800</v>
      </c>
      <c r="F370" s="15">
        <f t="shared" si="85"/>
        <v>2150</v>
      </c>
      <c r="G370" s="15">
        <v>698670</v>
      </c>
    </row>
    <row r="371" spans="1:7" x14ac:dyDescent="0.25">
      <c r="A371" s="16" t="str">
        <f t="shared" si="86"/>
        <v>PUERTA RF120 1800X2100</v>
      </c>
      <c r="B371" s="16" t="s">
        <v>41</v>
      </c>
      <c r="C371" s="15">
        <v>1800</v>
      </c>
      <c r="D371" s="21">
        <v>2100</v>
      </c>
      <c r="E371" s="15">
        <f t="shared" si="84"/>
        <v>1900</v>
      </c>
      <c r="F371" s="15">
        <f t="shared" si="85"/>
        <v>2150</v>
      </c>
      <c r="G371" s="15">
        <v>740470</v>
      </c>
    </row>
    <row r="372" spans="1:7" x14ac:dyDescent="0.25">
      <c r="A372" s="16" t="str">
        <f t="shared" si="86"/>
        <v>PUERTA RF120 1900X2100</v>
      </c>
      <c r="B372" s="16" t="s">
        <v>41</v>
      </c>
      <c r="C372" s="15">
        <v>1900</v>
      </c>
      <c r="D372" s="21">
        <v>2100</v>
      </c>
      <c r="E372" s="15">
        <f t="shared" si="84"/>
        <v>2000</v>
      </c>
      <c r="F372" s="15">
        <f t="shared" si="85"/>
        <v>2150</v>
      </c>
      <c r="G372" s="15">
        <v>780120</v>
      </c>
    </row>
    <row r="373" spans="1:7" x14ac:dyDescent="0.25">
      <c r="A373" s="16" t="str">
        <f t="shared" si="86"/>
        <v>PUERTA RF120 2000X2100</v>
      </c>
      <c r="B373" s="16" t="s">
        <v>41</v>
      </c>
      <c r="C373" s="15">
        <v>2000</v>
      </c>
      <c r="D373" s="21">
        <v>2100</v>
      </c>
      <c r="E373" s="15">
        <f>SUM($C373,100)</f>
        <v>2100</v>
      </c>
      <c r="F373" s="15">
        <f>SUM($D373,50)</f>
        <v>2150</v>
      </c>
      <c r="G373" s="15">
        <v>835890</v>
      </c>
    </row>
    <row r="374" spans="1:7" x14ac:dyDescent="0.25">
      <c r="A374" s="16" t="str">
        <f t="shared" si="86"/>
        <v>PUERTA RF120 2100X2100</v>
      </c>
      <c r="B374" s="16" t="s">
        <v>41</v>
      </c>
      <c r="C374" s="15">
        <v>2100</v>
      </c>
      <c r="D374" s="21">
        <v>2100</v>
      </c>
      <c r="E374" s="15">
        <f>SUM($C374,100)</f>
        <v>2200</v>
      </c>
      <c r="F374" s="15">
        <f>SUM($D374,50)</f>
        <v>2150</v>
      </c>
      <c r="G374" s="15">
        <v>879670</v>
      </c>
    </row>
    <row r="375" spans="1:7" x14ac:dyDescent="0.25">
      <c r="A375" s="16" t="str">
        <f t="shared" si="86"/>
        <v>PUERTA RF120 2200X2100</v>
      </c>
      <c r="B375" s="16" t="s">
        <v>41</v>
      </c>
      <c r="C375" s="15">
        <v>2200</v>
      </c>
      <c r="D375" s="21">
        <v>2100</v>
      </c>
      <c r="E375" s="15">
        <f>SUM($C375,100)</f>
        <v>2300</v>
      </c>
      <c r="F375" s="15">
        <f t="shared" ref="F375" si="87">SUM($D375,50)</f>
        <v>2150</v>
      </c>
      <c r="G375" s="15">
        <v>923790</v>
      </c>
    </row>
    <row r="376" spans="1:7" x14ac:dyDescent="0.25">
      <c r="A376" s="16" t="str">
        <f>CONCATENATE("PUERTA ",$B376," ",$C376,"X",$D376)</f>
        <v>PUERTA RF120 600X2200</v>
      </c>
      <c r="B376" s="16" t="s">
        <v>41</v>
      </c>
      <c r="C376" s="21">
        <v>600</v>
      </c>
      <c r="D376" s="21">
        <v>2200</v>
      </c>
      <c r="E376" s="21">
        <v>800</v>
      </c>
      <c r="F376" s="21">
        <v>2050</v>
      </c>
      <c r="G376" s="15">
        <v>334660</v>
      </c>
    </row>
    <row r="377" spans="1:7" x14ac:dyDescent="0.25">
      <c r="A377" s="16" t="str">
        <f>CONCATENATE("PUERTA ",$B377," ",$C377,"X",$D377)</f>
        <v>PUERTA RF120 700X2200</v>
      </c>
      <c r="B377" s="16" t="s">
        <v>41</v>
      </c>
      <c r="C377" s="15">
        <v>700</v>
      </c>
      <c r="D377" s="21">
        <v>2200</v>
      </c>
      <c r="E377" s="15">
        <f t="shared" ref="E377:E389" si="88">SUM($C377,100)</f>
        <v>800</v>
      </c>
      <c r="F377" s="15">
        <f t="shared" ref="F377:F389" si="89">SUM($D377,50)</f>
        <v>2250</v>
      </c>
      <c r="G377" s="15">
        <v>334660</v>
      </c>
    </row>
    <row r="378" spans="1:7" x14ac:dyDescent="0.25">
      <c r="A378" s="16" t="str">
        <f t="shared" ref="A378:A392" si="90">CONCATENATE("PUERTA ",$B378," ",$C378,"X",$D378)</f>
        <v>PUERTA RF120 800X2200</v>
      </c>
      <c r="B378" s="16" t="s">
        <v>41</v>
      </c>
      <c r="C378" s="15">
        <v>800</v>
      </c>
      <c r="D378" s="21">
        <v>2200</v>
      </c>
      <c r="E378" s="15">
        <f t="shared" si="88"/>
        <v>900</v>
      </c>
      <c r="F378" s="15">
        <f t="shared" si="89"/>
        <v>2250</v>
      </c>
      <c r="G378" s="15">
        <v>334660</v>
      </c>
    </row>
    <row r="379" spans="1:7" x14ac:dyDescent="0.25">
      <c r="A379" s="16" t="str">
        <f t="shared" si="90"/>
        <v>PUERTA RF120 900X2200</v>
      </c>
      <c r="B379" s="16" t="s">
        <v>41</v>
      </c>
      <c r="C379" s="15">
        <v>900</v>
      </c>
      <c r="D379" s="21">
        <v>2200</v>
      </c>
      <c r="E379" s="15">
        <f t="shared" si="88"/>
        <v>1000</v>
      </c>
      <c r="F379" s="15">
        <f t="shared" si="89"/>
        <v>2250</v>
      </c>
      <c r="G379" s="15">
        <v>358290</v>
      </c>
    </row>
    <row r="380" spans="1:7" x14ac:dyDescent="0.25">
      <c r="A380" s="16" t="str">
        <f t="shared" si="90"/>
        <v>PUERTA RF120 1000X2200</v>
      </c>
      <c r="B380" s="16" t="s">
        <v>41</v>
      </c>
      <c r="C380" s="15">
        <v>1000</v>
      </c>
      <c r="D380" s="21">
        <v>2200</v>
      </c>
      <c r="E380" s="15">
        <f t="shared" si="88"/>
        <v>1100</v>
      </c>
      <c r="F380" s="15">
        <f t="shared" si="89"/>
        <v>2250</v>
      </c>
      <c r="G380" s="15">
        <v>381900</v>
      </c>
    </row>
    <row r="381" spans="1:7" x14ac:dyDescent="0.25">
      <c r="A381" s="16" t="str">
        <f t="shared" si="90"/>
        <v>PUERTA RF120 1100X2200</v>
      </c>
      <c r="B381" s="16" t="s">
        <v>41</v>
      </c>
      <c r="C381" s="15">
        <v>1100</v>
      </c>
      <c r="D381" s="21">
        <v>2200</v>
      </c>
      <c r="E381" s="15">
        <f t="shared" si="88"/>
        <v>1200</v>
      </c>
      <c r="F381" s="15">
        <f t="shared" si="89"/>
        <v>2250</v>
      </c>
      <c r="G381" s="15">
        <v>408070</v>
      </c>
    </row>
    <row r="382" spans="1:7" x14ac:dyDescent="0.25">
      <c r="A382" s="16" t="str">
        <f t="shared" si="90"/>
        <v>PUERTA RF120 1200X2200</v>
      </c>
      <c r="B382" s="16" t="s">
        <v>41</v>
      </c>
      <c r="C382" s="15">
        <v>1200</v>
      </c>
      <c r="D382" s="21">
        <v>2200</v>
      </c>
      <c r="E382" s="15">
        <f t="shared" si="88"/>
        <v>1300</v>
      </c>
      <c r="F382" s="15">
        <f t="shared" si="89"/>
        <v>2250</v>
      </c>
      <c r="G382" s="15">
        <v>504530</v>
      </c>
    </row>
    <row r="383" spans="1:7" x14ac:dyDescent="0.25">
      <c r="A383" s="16" t="str">
        <f t="shared" si="90"/>
        <v>PUERTA RF120 1300X2200</v>
      </c>
      <c r="B383" s="16" t="s">
        <v>41</v>
      </c>
      <c r="C383" s="15">
        <v>1300</v>
      </c>
      <c r="D383" s="21">
        <v>2200</v>
      </c>
      <c r="E383" s="15">
        <f t="shared" si="88"/>
        <v>1400</v>
      </c>
      <c r="F383" s="15">
        <f t="shared" si="89"/>
        <v>2250</v>
      </c>
      <c r="G383" s="15">
        <v>574700</v>
      </c>
    </row>
    <row r="384" spans="1:7" x14ac:dyDescent="0.25">
      <c r="A384" s="16" t="str">
        <f t="shared" si="90"/>
        <v>PUERTA RF120 1400X2200</v>
      </c>
      <c r="B384" s="16" t="s">
        <v>41</v>
      </c>
      <c r="C384" s="15">
        <v>1400</v>
      </c>
      <c r="D384" s="21">
        <v>2200</v>
      </c>
      <c r="E384" s="15">
        <f t="shared" si="88"/>
        <v>1500</v>
      </c>
      <c r="F384" s="15">
        <f t="shared" si="89"/>
        <v>2250</v>
      </c>
      <c r="G384" s="15">
        <v>608740</v>
      </c>
    </row>
    <row r="385" spans="1:7" x14ac:dyDescent="0.25">
      <c r="A385" s="16" t="str">
        <f t="shared" si="90"/>
        <v>PUERTA RF120 1500X2200</v>
      </c>
      <c r="B385" s="16" t="s">
        <v>41</v>
      </c>
      <c r="C385" s="15">
        <v>1500</v>
      </c>
      <c r="D385" s="21">
        <v>2200</v>
      </c>
      <c r="E385" s="15">
        <f t="shared" si="88"/>
        <v>1600</v>
      </c>
      <c r="F385" s="15">
        <f t="shared" si="89"/>
        <v>2250</v>
      </c>
      <c r="G385" s="15">
        <v>661570</v>
      </c>
    </row>
    <row r="386" spans="1:7" x14ac:dyDescent="0.25">
      <c r="A386" s="16" t="str">
        <f t="shared" si="90"/>
        <v>PUERTA RF120 1600X2200</v>
      </c>
      <c r="B386" s="16" t="s">
        <v>41</v>
      </c>
      <c r="C386" s="15">
        <v>1600</v>
      </c>
      <c r="D386" s="21">
        <v>2200</v>
      </c>
      <c r="E386" s="15">
        <f t="shared" si="88"/>
        <v>1700</v>
      </c>
      <c r="F386" s="15">
        <f t="shared" si="89"/>
        <v>2250</v>
      </c>
      <c r="G386" s="15">
        <v>707790</v>
      </c>
    </row>
    <row r="387" spans="1:7" x14ac:dyDescent="0.25">
      <c r="A387" s="16" t="str">
        <f t="shared" si="90"/>
        <v>PUERTA RF120 1700X2200</v>
      </c>
      <c r="B387" s="16" t="s">
        <v>41</v>
      </c>
      <c r="C387" s="15">
        <v>1700</v>
      </c>
      <c r="D387" s="21">
        <v>2200</v>
      </c>
      <c r="E387" s="15">
        <f t="shared" si="88"/>
        <v>1800</v>
      </c>
      <c r="F387" s="15">
        <f t="shared" si="89"/>
        <v>2250</v>
      </c>
      <c r="G387" s="15">
        <v>762180</v>
      </c>
    </row>
    <row r="388" spans="1:7" x14ac:dyDescent="0.25">
      <c r="A388" s="16" t="str">
        <f t="shared" si="90"/>
        <v>PUERTA RF120 1800X2200</v>
      </c>
      <c r="B388" s="16" t="s">
        <v>41</v>
      </c>
      <c r="C388" s="15">
        <v>1800</v>
      </c>
      <c r="D388" s="21">
        <v>2200</v>
      </c>
      <c r="E388" s="15">
        <f t="shared" si="88"/>
        <v>1900</v>
      </c>
      <c r="F388" s="15">
        <f t="shared" si="89"/>
        <v>2250</v>
      </c>
      <c r="G388" s="15">
        <v>807700</v>
      </c>
    </row>
    <row r="389" spans="1:7" x14ac:dyDescent="0.25">
      <c r="A389" s="16" t="str">
        <f t="shared" si="90"/>
        <v>PUERTA RF120 1900X2200</v>
      </c>
      <c r="B389" s="16" t="s">
        <v>41</v>
      </c>
      <c r="C389" s="15">
        <v>1900</v>
      </c>
      <c r="D389" s="21">
        <v>2200</v>
      </c>
      <c r="E389" s="15">
        <f t="shared" si="88"/>
        <v>2000</v>
      </c>
      <c r="F389" s="15">
        <f t="shared" si="89"/>
        <v>2250</v>
      </c>
      <c r="G389" s="15">
        <v>851110</v>
      </c>
    </row>
    <row r="390" spans="1:7" x14ac:dyDescent="0.25">
      <c r="A390" s="16" t="str">
        <f t="shared" si="90"/>
        <v>PUERTA RF120 2000X2200</v>
      </c>
      <c r="B390" s="16" t="s">
        <v>41</v>
      </c>
      <c r="C390" s="15">
        <v>2000</v>
      </c>
      <c r="D390" s="21">
        <v>2200</v>
      </c>
      <c r="E390" s="15">
        <f>SUM($C390,100)</f>
        <v>2100</v>
      </c>
      <c r="F390" s="15">
        <f>SUM($D390,50)</f>
        <v>2250</v>
      </c>
      <c r="G390" s="15">
        <v>911910</v>
      </c>
    </row>
    <row r="391" spans="1:7" x14ac:dyDescent="0.25">
      <c r="A391" s="16" t="str">
        <f t="shared" si="90"/>
        <v>PUERTA RF120 2100X2200</v>
      </c>
      <c r="B391" s="16" t="s">
        <v>41</v>
      </c>
      <c r="C391" s="15">
        <v>2100</v>
      </c>
      <c r="D391" s="21">
        <v>2200</v>
      </c>
      <c r="E391" s="15">
        <f>SUM($C391,100)</f>
        <v>2200</v>
      </c>
      <c r="F391" s="15">
        <f>SUM($D391,50)</f>
        <v>2250</v>
      </c>
      <c r="G391" s="15">
        <v>959710</v>
      </c>
    </row>
    <row r="392" spans="1:7" x14ac:dyDescent="0.25">
      <c r="A392" s="16" t="str">
        <f t="shared" si="90"/>
        <v>PUERTA RF120 2200X2200</v>
      </c>
      <c r="B392" s="16" t="s">
        <v>41</v>
      </c>
      <c r="C392" s="15">
        <v>2200</v>
      </c>
      <c r="D392" s="21">
        <v>2200</v>
      </c>
      <c r="E392" s="15">
        <f>SUM($C392,100)</f>
        <v>2300</v>
      </c>
      <c r="F392" s="15">
        <f t="shared" ref="F392" si="91">SUM($D392,50)</f>
        <v>2250</v>
      </c>
      <c r="G392" s="15">
        <v>1007760</v>
      </c>
    </row>
    <row r="393" spans="1:7" x14ac:dyDescent="0.25">
      <c r="A393" s="16" t="str">
        <f>CONCATENATE("PUERTA ",$B393," ",$C393,"X",$D393)</f>
        <v>PUERTA RF120 600X2300</v>
      </c>
      <c r="B393" s="16" t="s">
        <v>41</v>
      </c>
      <c r="C393" s="21">
        <v>600</v>
      </c>
      <c r="D393" s="21">
        <v>2300</v>
      </c>
      <c r="E393" s="21">
        <v>800</v>
      </c>
      <c r="F393" s="21">
        <v>2050</v>
      </c>
      <c r="G393" s="15">
        <v>362520</v>
      </c>
    </row>
    <row r="394" spans="1:7" x14ac:dyDescent="0.25">
      <c r="A394" s="16" t="str">
        <f>CONCATENATE("PUERTA ",$B394," ",$C394,"X",$D394)</f>
        <v>PUERTA RF120 700X2300</v>
      </c>
      <c r="B394" s="16" t="s">
        <v>41</v>
      </c>
      <c r="C394" s="15">
        <v>700</v>
      </c>
      <c r="D394" s="21">
        <v>2300</v>
      </c>
      <c r="E394" s="15">
        <f t="shared" ref="E394:E406" si="92">SUM($C394,100)</f>
        <v>800</v>
      </c>
      <c r="F394" s="15">
        <f t="shared" ref="F394:F406" si="93">SUM($D394,50)</f>
        <v>2350</v>
      </c>
      <c r="G394" s="15">
        <v>362520</v>
      </c>
    </row>
    <row r="395" spans="1:7" x14ac:dyDescent="0.25">
      <c r="A395" s="16" t="str">
        <f t="shared" ref="A395:A409" si="94">CONCATENATE("PUERTA ",$B395," ",$C395,"X",$D395)</f>
        <v>PUERTA RF120 800X2300</v>
      </c>
      <c r="B395" s="16" t="s">
        <v>41</v>
      </c>
      <c r="C395" s="15">
        <v>800</v>
      </c>
      <c r="D395" s="21">
        <v>2300</v>
      </c>
      <c r="E395" s="15">
        <f t="shared" si="92"/>
        <v>900</v>
      </c>
      <c r="F395" s="15">
        <f t="shared" si="93"/>
        <v>2350</v>
      </c>
      <c r="G395" s="15">
        <v>362520</v>
      </c>
    </row>
    <row r="396" spans="1:7" x14ac:dyDescent="0.25">
      <c r="A396" s="16" t="str">
        <f t="shared" si="94"/>
        <v>PUERTA RF120 900X2300</v>
      </c>
      <c r="B396" s="16" t="s">
        <v>41</v>
      </c>
      <c r="C396" s="15">
        <v>900</v>
      </c>
      <c r="D396" s="21">
        <v>2300</v>
      </c>
      <c r="E396" s="15">
        <f t="shared" si="92"/>
        <v>1000</v>
      </c>
      <c r="F396" s="15">
        <f t="shared" si="93"/>
        <v>2350</v>
      </c>
      <c r="G396" s="15">
        <v>388090</v>
      </c>
    </row>
    <row r="397" spans="1:7" x14ac:dyDescent="0.25">
      <c r="A397" s="16" t="str">
        <f t="shared" si="94"/>
        <v>PUERTA RF120 1000X2300</v>
      </c>
      <c r="B397" s="16" t="s">
        <v>41</v>
      </c>
      <c r="C397" s="15">
        <v>1000</v>
      </c>
      <c r="D397" s="21">
        <v>2300</v>
      </c>
      <c r="E397" s="15">
        <f t="shared" si="92"/>
        <v>1100</v>
      </c>
      <c r="F397" s="15">
        <f t="shared" si="93"/>
        <v>2350</v>
      </c>
      <c r="G397" s="15">
        <v>413700</v>
      </c>
    </row>
    <row r="398" spans="1:7" x14ac:dyDescent="0.25">
      <c r="A398" s="16" t="str">
        <f t="shared" si="94"/>
        <v>PUERTA RF120 1100X2300</v>
      </c>
      <c r="B398" s="16" t="s">
        <v>41</v>
      </c>
      <c r="C398" s="15">
        <v>1100</v>
      </c>
      <c r="D398" s="21">
        <v>2300</v>
      </c>
      <c r="E398" s="15">
        <f t="shared" si="92"/>
        <v>1200</v>
      </c>
      <c r="F398" s="15">
        <f t="shared" si="93"/>
        <v>2350</v>
      </c>
      <c r="G398" s="15">
        <v>442090</v>
      </c>
    </row>
    <row r="399" spans="1:7" x14ac:dyDescent="0.25">
      <c r="A399" s="16" t="str">
        <f t="shared" si="94"/>
        <v>PUERTA RF120 1200X2300</v>
      </c>
      <c r="B399" s="16" t="s">
        <v>41</v>
      </c>
      <c r="C399" s="15">
        <v>1200</v>
      </c>
      <c r="D399" s="21">
        <v>2300</v>
      </c>
      <c r="E399" s="15">
        <f t="shared" si="92"/>
        <v>1300</v>
      </c>
      <c r="F399" s="15">
        <f t="shared" si="93"/>
        <v>2350</v>
      </c>
      <c r="G399" s="15">
        <v>546520</v>
      </c>
    </row>
    <row r="400" spans="1:7" x14ac:dyDescent="0.25">
      <c r="A400" s="16" t="str">
        <f t="shared" si="94"/>
        <v>PUERTA RF120 1300X2300</v>
      </c>
      <c r="B400" s="16" t="s">
        <v>41</v>
      </c>
      <c r="C400" s="15">
        <v>1300</v>
      </c>
      <c r="D400" s="21">
        <v>2300</v>
      </c>
      <c r="E400" s="15">
        <f t="shared" si="92"/>
        <v>1400</v>
      </c>
      <c r="F400" s="15">
        <f t="shared" si="93"/>
        <v>2350</v>
      </c>
      <c r="G400" s="15">
        <v>622610</v>
      </c>
    </row>
    <row r="401" spans="1:7" x14ac:dyDescent="0.25">
      <c r="A401" s="16" t="str">
        <f t="shared" si="94"/>
        <v>PUERTA RF120 1400X2300</v>
      </c>
      <c r="B401" s="16" t="s">
        <v>41</v>
      </c>
      <c r="C401" s="15">
        <v>1400</v>
      </c>
      <c r="D401" s="21">
        <v>2300</v>
      </c>
      <c r="E401" s="15">
        <f t="shared" si="92"/>
        <v>1500</v>
      </c>
      <c r="F401" s="15">
        <f t="shared" si="93"/>
        <v>2350</v>
      </c>
      <c r="G401" s="15">
        <v>659370</v>
      </c>
    </row>
    <row r="402" spans="1:7" x14ac:dyDescent="0.25">
      <c r="A402" s="16" t="str">
        <f t="shared" si="94"/>
        <v>PUERTA RF120 1500X2300</v>
      </c>
      <c r="B402" s="16" t="s">
        <v>41</v>
      </c>
      <c r="C402" s="15">
        <v>1500</v>
      </c>
      <c r="D402" s="21">
        <v>2300</v>
      </c>
      <c r="E402" s="15">
        <f t="shared" si="92"/>
        <v>1600</v>
      </c>
      <c r="F402" s="15">
        <f t="shared" si="93"/>
        <v>2350</v>
      </c>
      <c r="G402" s="15">
        <v>716690</v>
      </c>
    </row>
    <row r="403" spans="1:7" x14ac:dyDescent="0.25">
      <c r="A403" s="16" t="str">
        <f t="shared" si="94"/>
        <v>PUERTA RF120 1600X2300</v>
      </c>
      <c r="B403" s="16" t="s">
        <v>41</v>
      </c>
      <c r="C403" s="15">
        <v>1600</v>
      </c>
      <c r="D403" s="21">
        <v>2300</v>
      </c>
      <c r="E403" s="15">
        <f t="shared" si="92"/>
        <v>1700</v>
      </c>
      <c r="F403" s="15">
        <f t="shared" si="93"/>
        <v>2350</v>
      </c>
      <c r="G403" s="15">
        <v>766860</v>
      </c>
    </row>
    <row r="404" spans="1:7" x14ac:dyDescent="0.25">
      <c r="A404" s="16" t="str">
        <f t="shared" si="94"/>
        <v>PUERTA RF120 1700X2300</v>
      </c>
      <c r="B404" s="16" t="s">
        <v>41</v>
      </c>
      <c r="C404" s="15">
        <v>1700</v>
      </c>
      <c r="D404" s="21">
        <v>2300</v>
      </c>
      <c r="E404" s="15">
        <f t="shared" si="92"/>
        <v>1800</v>
      </c>
      <c r="F404" s="15">
        <f t="shared" si="93"/>
        <v>2350</v>
      </c>
      <c r="G404" s="15">
        <v>825620</v>
      </c>
    </row>
    <row r="405" spans="1:7" x14ac:dyDescent="0.25">
      <c r="A405" s="16" t="str">
        <f t="shared" si="94"/>
        <v>PUERTA RF120 1800X2300</v>
      </c>
      <c r="B405" s="16" t="s">
        <v>41</v>
      </c>
      <c r="C405" s="15">
        <v>1800</v>
      </c>
      <c r="D405" s="21">
        <v>2300</v>
      </c>
      <c r="E405" s="15">
        <f t="shared" si="92"/>
        <v>1900</v>
      </c>
      <c r="F405" s="15">
        <f t="shared" si="93"/>
        <v>2350</v>
      </c>
      <c r="G405" s="15">
        <v>875030</v>
      </c>
    </row>
    <row r="406" spans="1:7" x14ac:dyDescent="0.25">
      <c r="A406" s="16" t="str">
        <f t="shared" si="94"/>
        <v>PUERTA RF120 1900X2300</v>
      </c>
      <c r="B406" s="16" t="s">
        <v>41</v>
      </c>
      <c r="C406" s="15">
        <v>1900</v>
      </c>
      <c r="D406" s="21">
        <v>2300</v>
      </c>
      <c r="E406" s="15">
        <f t="shared" si="92"/>
        <v>2000</v>
      </c>
      <c r="F406" s="15">
        <f t="shared" si="93"/>
        <v>2350</v>
      </c>
      <c r="G406" s="15">
        <v>922040</v>
      </c>
    </row>
    <row r="407" spans="1:7" x14ac:dyDescent="0.25">
      <c r="A407" s="16" t="str">
        <f t="shared" si="94"/>
        <v>PUERTA RF120 2000X2300</v>
      </c>
      <c r="B407" s="16" t="s">
        <v>41</v>
      </c>
      <c r="C407" s="15">
        <v>2000</v>
      </c>
      <c r="D407" s="21">
        <v>2300</v>
      </c>
      <c r="E407" s="15">
        <f>SUM($C407,100)</f>
        <v>2100</v>
      </c>
      <c r="F407" s="15">
        <f>SUM($D407,50)</f>
        <v>2350</v>
      </c>
      <c r="G407" s="15">
        <v>987960</v>
      </c>
    </row>
    <row r="408" spans="1:7" x14ac:dyDescent="0.25">
      <c r="A408" s="16" t="str">
        <f t="shared" si="94"/>
        <v>PUERTA RF120 2100X2300</v>
      </c>
      <c r="B408" s="16" t="s">
        <v>41</v>
      </c>
      <c r="C408" s="15">
        <v>2100</v>
      </c>
      <c r="D408" s="21">
        <v>2300</v>
      </c>
      <c r="E408" s="15">
        <f>SUM($C408,100)</f>
        <v>2200</v>
      </c>
      <c r="F408" s="15">
        <f>SUM($D408,50)</f>
        <v>2350</v>
      </c>
      <c r="G408" s="15">
        <v>1039650</v>
      </c>
    </row>
    <row r="409" spans="1:7" x14ac:dyDescent="0.25">
      <c r="A409" s="16" t="str">
        <f t="shared" si="94"/>
        <v>PUERTA RF120 2200X2300</v>
      </c>
      <c r="B409" s="16" t="s">
        <v>41</v>
      </c>
      <c r="C409" s="15">
        <v>2200</v>
      </c>
      <c r="D409" s="21">
        <v>2300</v>
      </c>
      <c r="E409" s="15">
        <f>SUM($C409,100)</f>
        <v>2300</v>
      </c>
      <c r="F409" s="15">
        <f t="shared" ref="F409" si="95">SUM($D409,50)</f>
        <v>2350</v>
      </c>
      <c r="G409" s="15">
        <v>1091700</v>
      </c>
    </row>
    <row r="410" spans="1:7" x14ac:dyDescent="0.25">
      <c r="A410" s="16" t="str">
        <f>CONCATENATE("PUERTA ",$B410," ",$C410,"X",$D410)</f>
        <v>PUERTA RF120 600X2400</v>
      </c>
      <c r="B410" s="16" t="s">
        <v>41</v>
      </c>
      <c r="C410" s="21">
        <v>600</v>
      </c>
      <c r="D410" s="21">
        <v>2400</v>
      </c>
      <c r="E410" s="21">
        <v>800</v>
      </c>
      <c r="F410" s="21">
        <v>2050</v>
      </c>
      <c r="G410" s="15">
        <v>390470</v>
      </c>
    </row>
    <row r="411" spans="1:7" x14ac:dyDescent="0.25">
      <c r="A411" s="16" t="str">
        <f>CONCATENATE("PUERTA ",$B411," ",$C411,"X",$D411)</f>
        <v>PUERTA RF120 700X2400</v>
      </c>
      <c r="B411" s="16" t="s">
        <v>41</v>
      </c>
      <c r="C411" s="15">
        <v>700</v>
      </c>
      <c r="D411" s="21">
        <v>2400</v>
      </c>
      <c r="E411" s="15">
        <f t="shared" ref="E411:E423" si="96">SUM($C411,100)</f>
        <v>800</v>
      </c>
      <c r="F411" s="15">
        <f t="shared" ref="F411:F423" si="97">SUM($D411,50)</f>
        <v>2450</v>
      </c>
      <c r="G411" s="15">
        <v>390470</v>
      </c>
    </row>
    <row r="412" spans="1:7" x14ac:dyDescent="0.25">
      <c r="A412" s="16" t="str">
        <f t="shared" ref="A412:A426" si="98">CONCATENATE("PUERTA ",$B412," ",$C412,"X",$D412)</f>
        <v>PUERTA RF120 800X2400</v>
      </c>
      <c r="B412" s="16" t="s">
        <v>41</v>
      </c>
      <c r="C412" s="15">
        <v>800</v>
      </c>
      <c r="D412" s="21">
        <v>2400</v>
      </c>
      <c r="E412" s="15">
        <f t="shared" si="96"/>
        <v>900</v>
      </c>
      <c r="F412" s="15">
        <f t="shared" si="97"/>
        <v>2450</v>
      </c>
      <c r="G412" s="15">
        <v>390470</v>
      </c>
    </row>
    <row r="413" spans="1:7" x14ac:dyDescent="0.25">
      <c r="A413" s="16" t="str">
        <f t="shared" si="98"/>
        <v>PUERTA RF120 900X2400</v>
      </c>
      <c r="B413" s="16" t="s">
        <v>41</v>
      </c>
      <c r="C413" s="15">
        <v>900</v>
      </c>
      <c r="D413" s="21">
        <v>2400</v>
      </c>
      <c r="E413" s="15">
        <f t="shared" si="96"/>
        <v>1000</v>
      </c>
      <c r="F413" s="15">
        <f t="shared" si="97"/>
        <v>2450</v>
      </c>
      <c r="G413" s="15">
        <v>417990</v>
      </c>
    </row>
    <row r="414" spans="1:7" x14ac:dyDescent="0.25">
      <c r="A414" s="16" t="str">
        <f t="shared" si="98"/>
        <v>PUERTA RF120 1000X2400</v>
      </c>
      <c r="B414" s="16" t="s">
        <v>41</v>
      </c>
      <c r="C414" s="15">
        <v>1000</v>
      </c>
      <c r="D414" s="21">
        <v>2400</v>
      </c>
      <c r="E414" s="15">
        <f t="shared" si="96"/>
        <v>1100</v>
      </c>
      <c r="F414" s="15">
        <f t="shared" si="97"/>
        <v>2450</v>
      </c>
      <c r="G414" s="15">
        <v>445500</v>
      </c>
    </row>
    <row r="415" spans="1:7" x14ac:dyDescent="0.25">
      <c r="A415" s="16" t="str">
        <f t="shared" si="98"/>
        <v>PUERTA RF120 1100X2400</v>
      </c>
      <c r="B415" s="16" t="s">
        <v>41</v>
      </c>
      <c r="C415" s="15">
        <v>1100</v>
      </c>
      <c r="D415" s="21">
        <v>2400</v>
      </c>
      <c r="E415" s="15">
        <f t="shared" si="96"/>
        <v>1200</v>
      </c>
      <c r="F415" s="15">
        <f t="shared" si="97"/>
        <v>2450</v>
      </c>
      <c r="G415" s="15">
        <v>476050</v>
      </c>
    </row>
    <row r="416" spans="1:7" x14ac:dyDescent="0.25">
      <c r="A416" s="16" t="str">
        <f t="shared" si="98"/>
        <v>PUERTA RF120 1200X2400</v>
      </c>
      <c r="B416" s="16" t="s">
        <v>41</v>
      </c>
      <c r="C416" s="15">
        <v>1200</v>
      </c>
      <c r="D416" s="21">
        <v>2400</v>
      </c>
      <c r="E416" s="15">
        <f t="shared" si="96"/>
        <v>1300</v>
      </c>
      <c r="F416" s="15">
        <f t="shared" si="97"/>
        <v>2450</v>
      </c>
      <c r="G416" s="15">
        <v>588600</v>
      </c>
    </row>
    <row r="417" spans="1:7" x14ac:dyDescent="0.25">
      <c r="A417" s="16" t="str">
        <f t="shared" si="98"/>
        <v>PUERTA RF120 1300X2400</v>
      </c>
      <c r="B417" s="16" t="s">
        <v>41</v>
      </c>
      <c r="C417" s="15">
        <v>1300</v>
      </c>
      <c r="D417" s="21">
        <v>2400</v>
      </c>
      <c r="E417" s="15">
        <f t="shared" si="96"/>
        <v>1400</v>
      </c>
      <c r="F417" s="15">
        <f t="shared" si="97"/>
        <v>2450</v>
      </c>
      <c r="G417" s="15">
        <v>670420</v>
      </c>
    </row>
    <row r="418" spans="1:7" x14ac:dyDescent="0.25">
      <c r="A418" s="16" t="str">
        <f t="shared" si="98"/>
        <v>PUERTA RF120 1400X2400</v>
      </c>
      <c r="B418" s="16" t="s">
        <v>41</v>
      </c>
      <c r="C418" s="15">
        <v>1400</v>
      </c>
      <c r="D418" s="21">
        <v>2400</v>
      </c>
      <c r="E418" s="15">
        <f t="shared" si="96"/>
        <v>1500</v>
      </c>
      <c r="F418" s="15">
        <f t="shared" si="97"/>
        <v>2450</v>
      </c>
      <c r="G418" s="15">
        <v>710140</v>
      </c>
    </row>
    <row r="419" spans="1:7" x14ac:dyDescent="0.25">
      <c r="A419" s="16" t="str">
        <f t="shared" si="98"/>
        <v>PUERTA RF120 1500X2400</v>
      </c>
      <c r="B419" s="16" t="s">
        <v>41</v>
      </c>
      <c r="C419" s="15">
        <v>1500</v>
      </c>
      <c r="D419" s="21">
        <v>2400</v>
      </c>
      <c r="E419" s="15">
        <f t="shared" si="96"/>
        <v>1600</v>
      </c>
      <c r="F419" s="15">
        <f t="shared" si="97"/>
        <v>2450</v>
      </c>
      <c r="G419" s="15">
        <v>771780</v>
      </c>
    </row>
    <row r="420" spans="1:7" x14ac:dyDescent="0.25">
      <c r="A420" s="16" t="str">
        <f t="shared" si="98"/>
        <v>PUERTA RF120 1600X2400</v>
      </c>
      <c r="B420" s="16" t="s">
        <v>41</v>
      </c>
      <c r="C420" s="15">
        <v>1600</v>
      </c>
      <c r="D420" s="21">
        <v>2400</v>
      </c>
      <c r="E420" s="15">
        <f t="shared" si="96"/>
        <v>1700</v>
      </c>
      <c r="F420" s="15">
        <f t="shared" si="97"/>
        <v>2450</v>
      </c>
      <c r="G420" s="15">
        <v>825840</v>
      </c>
    </row>
    <row r="421" spans="1:7" x14ac:dyDescent="0.25">
      <c r="A421" s="16" t="str">
        <f t="shared" si="98"/>
        <v>PUERTA RF120 1700X2400</v>
      </c>
      <c r="B421" s="16" t="s">
        <v>41</v>
      </c>
      <c r="C421" s="15">
        <v>1700</v>
      </c>
      <c r="D421" s="21">
        <v>2400</v>
      </c>
      <c r="E421" s="15">
        <f t="shared" si="96"/>
        <v>1800</v>
      </c>
      <c r="F421" s="15">
        <f t="shared" si="97"/>
        <v>2450</v>
      </c>
      <c r="G421" s="15">
        <v>889200</v>
      </c>
    </row>
    <row r="422" spans="1:7" x14ac:dyDescent="0.25">
      <c r="A422" s="16" t="str">
        <f t="shared" si="98"/>
        <v>PUERTA RF120 1800X2400</v>
      </c>
      <c r="B422" s="16" t="s">
        <v>41</v>
      </c>
      <c r="C422" s="15">
        <v>1800</v>
      </c>
      <c r="D422" s="21">
        <v>2400</v>
      </c>
      <c r="E422" s="15">
        <f t="shared" si="96"/>
        <v>1900</v>
      </c>
      <c r="F422" s="15">
        <f t="shared" si="97"/>
        <v>2450</v>
      </c>
      <c r="G422" s="15">
        <v>942320</v>
      </c>
    </row>
    <row r="423" spans="1:7" x14ac:dyDescent="0.25">
      <c r="A423" s="16" t="str">
        <f t="shared" si="98"/>
        <v>PUERTA RF120 1900X2400</v>
      </c>
      <c r="B423" s="16" t="s">
        <v>41</v>
      </c>
      <c r="C423" s="15">
        <v>1900</v>
      </c>
      <c r="D423" s="21">
        <v>2400</v>
      </c>
      <c r="E423" s="15">
        <f t="shared" si="96"/>
        <v>2000</v>
      </c>
      <c r="F423" s="15">
        <f t="shared" si="97"/>
        <v>2450</v>
      </c>
      <c r="G423" s="15">
        <v>992990</v>
      </c>
    </row>
    <row r="424" spans="1:7" x14ac:dyDescent="0.25">
      <c r="A424" s="16" t="str">
        <f t="shared" si="98"/>
        <v>PUERTA RF120 2000X2400</v>
      </c>
      <c r="B424" s="16" t="s">
        <v>41</v>
      </c>
      <c r="C424" s="15">
        <v>2000</v>
      </c>
      <c r="D424" s="21">
        <v>2400</v>
      </c>
      <c r="E424" s="15">
        <f t="shared" ref="E424:E426" si="99">SUM($C424,100)</f>
        <v>2100</v>
      </c>
      <c r="F424" s="15">
        <f>SUM($D424,50)</f>
        <v>2450</v>
      </c>
      <c r="G424" s="15">
        <v>1064000</v>
      </c>
    </row>
    <row r="425" spans="1:7" x14ac:dyDescent="0.25">
      <c r="A425" s="16" t="str">
        <f t="shared" si="98"/>
        <v>PUERTA RF120 2100X2400</v>
      </c>
      <c r="B425" s="16" t="s">
        <v>41</v>
      </c>
      <c r="C425" s="15">
        <v>2100</v>
      </c>
      <c r="D425" s="21">
        <v>2400</v>
      </c>
      <c r="E425" s="15">
        <f t="shared" si="99"/>
        <v>2200</v>
      </c>
      <c r="F425" s="15">
        <f>SUM($D425,50)</f>
        <v>2450</v>
      </c>
      <c r="G425" s="15">
        <v>1119720</v>
      </c>
    </row>
    <row r="426" spans="1:7" x14ac:dyDescent="0.25">
      <c r="A426" s="16" t="str">
        <f t="shared" si="98"/>
        <v>PUERTA RF120 2200X2400</v>
      </c>
      <c r="B426" s="16" t="s">
        <v>41</v>
      </c>
      <c r="C426" s="15">
        <v>2200</v>
      </c>
      <c r="D426" s="21">
        <v>2400</v>
      </c>
      <c r="E426" s="15">
        <f t="shared" si="99"/>
        <v>2300</v>
      </c>
      <c r="F426" s="15">
        <f t="shared" ref="F426" si="100">SUM($D426,50)</f>
        <v>2450</v>
      </c>
      <c r="G426" s="15">
        <v>1175710</v>
      </c>
    </row>
  </sheetData>
  <sortState xmlns:xlrd2="http://schemas.microsoft.com/office/spreadsheetml/2017/richdata2" ref="A266:G294">
    <sortCondition ref="A266"/>
  </sortState>
  <phoneticPr fontId="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D944B-B45C-461B-ABCD-9E01B898227E}">
  <sheetPr codeName="Hoja3"/>
  <dimension ref="A1:B48"/>
  <sheetViews>
    <sheetView workbookViewId="0">
      <selection activeCell="A24" sqref="A24"/>
    </sheetView>
  </sheetViews>
  <sheetFormatPr baseColWidth="10" defaultRowHeight="15" x14ac:dyDescent="0.25"/>
  <cols>
    <col min="1" max="1" width="59.5703125" customWidth="1"/>
  </cols>
  <sheetData>
    <row r="1" spans="1:2" x14ac:dyDescent="0.25">
      <c r="A1" t="s">
        <v>19</v>
      </c>
      <c r="B1" t="s">
        <v>14</v>
      </c>
    </row>
    <row r="2" spans="1:2" x14ac:dyDescent="0.25">
      <c r="A2" s="32" t="s">
        <v>42</v>
      </c>
      <c r="B2" s="33">
        <v>32890</v>
      </c>
    </row>
    <row r="3" spans="1:2" x14ac:dyDescent="0.25">
      <c r="A3" s="23" t="s">
        <v>43</v>
      </c>
      <c r="B3" s="33">
        <v>32890</v>
      </c>
    </row>
    <row r="4" spans="1:2" x14ac:dyDescent="0.25">
      <c r="A4" s="23" t="s">
        <v>44</v>
      </c>
      <c r="B4" s="33">
        <v>56780</v>
      </c>
    </row>
    <row r="5" spans="1:2" x14ac:dyDescent="0.25">
      <c r="A5" s="23" t="s">
        <v>45</v>
      </c>
      <c r="B5" s="33">
        <v>44860</v>
      </c>
    </row>
    <row r="6" spans="1:2" x14ac:dyDescent="0.25">
      <c r="A6" s="23" t="s">
        <v>46</v>
      </c>
      <c r="B6" s="33">
        <v>66240</v>
      </c>
    </row>
    <row r="7" spans="1:2" x14ac:dyDescent="0.25">
      <c r="A7" s="23" t="s">
        <v>29</v>
      </c>
      <c r="B7" s="33">
        <v>43570</v>
      </c>
    </row>
    <row r="8" spans="1:2" x14ac:dyDescent="0.25">
      <c r="A8" s="23" t="s">
        <v>47</v>
      </c>
      <c r="B8" s="33">
        <v>66650</v>
      </c>
    </row>
    <row r="9" spans="1:2" x14ac:dyDescent="0.25">
      <c r="A9" s="23" t="s">
        <v>48</v>
      </c>
      <c r="B9" s="33">
        <v>64870</v>
      </c>
    </row>
    <row r="10" spans="1:2" x14ac:dyDescent="0.25">
      <c r="A10" s="23" t="s">
        <v>49</v>
      </c>
      <c r="B10" s="33">
        <v>21070</v>
      </c>
    </row>
    <row r="11" spans="1:2" x14ac:dyDescent="0.25">
      <c r="A11" s="22" t="s">
        <v>50</v>
      </c>
      <c r="B11" s="33">
        <v>13990</v>
      </c>
    </row>
    <row r="12" spans="1:2" x14ac:dyDescent="0.25">
      <c r="A12" s="22" t="s">
        <v>51</v>
      </c>
      <c r="B12" s="33">
        <v>6570</v>
      </c>
    </row>
    <row r="13" spans="1:2" x14ac:dyDescent="0.25">
      <c r="A13" s="23" t="s">
        <v>52</v>
      </c>
      <c r="B13" s="33">
        <v>18300</v>
      </c>
    </row>
    <row r="14" spans="1:2" x14ac:dyDescent="0.25">
      <c r="A14" s="23" t="s">
        <v>53</v>
      </c>
      <c r="B14" s="33">
        <v>54920</v>
      </c>
    </row>
    <row r="15" spans="1:2" x14ac:dyDescent="0.25">
      <c r="A15" s="26" t="s">
        <v>54</v>
      </c>
      <c r="B15" s="33">
        <v>21200</v>
      </c>
    </row>
    <row r="16" spans="1:2" x14ac:dyDescent="0.25">
      <c r="A16" s="27" t="s">
        <v>55</v>
      </c>
      <c r="B16" s="33">
        <v>21120</v>
      </c>
    </row>
    <row r="17" spans="1:2" x14ac:dyDescent="0.25">
      <c r="A17" s="22" t="s">
        <v>56</v>
      </c>
      <c r="B17" s="33">
        <v>8270</v>
      </c>
    </row>
    <row r="18" spans="1:2" x14ac:dyDescent="0.25">
      <c r="A18" s="28" t="s">
        <v>57</v>
      </c>
      <c r="B18" s="33">
        <v>4310</v>
      </c>
    </row>
    <row r="19" spans="1:2" x14ac:dyDescent="0.25">
      <c r="A19" s="24" t="s">
        <v>58</v>
      </c>
      <c r="B19" s="33">
        <v>7400</v>
      </c>
    </row>
    <row r="20" spans="1:2" x14ac:dyDescent="0.25">
      <c r="A20" s="24" t="s">
        <v>59</v>
      </c>
      <c r="B20" s="33">
        <v>7400</v>
      </c>
    </row>
    <row r="21" spans="1:2" x14ac:dyDescent="0.25">
      <c r="A21" s="24" t="s">
        <v>60</v>
      </c>
      <c r="B21" s="33">
        <v>7400</v>
      </c>
    </row>
    <row r="22" spans="1:2" x14ac:dyDescent="0.25">
      <c r="A22" s="24" t="s">
        <v>61</v>
      </c>
      <c r="B22" s="33">
        <v>8550</v>
      </c>
    </row>
    <row r="23" spans="1:2" x14ac:dyDescent="0.25">
      <c r="A23" s="36" t="s">
        <v>89</v>
      </c>
      <c r="B23" s="33">
        <v>17020</v>
      </c>
    </row>
    <row r="24" spans="1:2" x14ac:dyDescent="0.25">
      <c r="A24" s="24" t="s">
        <v>62</v>
      </c>
      <c r="B24" s="33">
        <v>6560</v>
      </c>
    </row>
    <row r="25" spans="1:2" x14ac:dyDescent="0.25">
      <c r="A25" s="24" t="s">
        <v>63</v>
      </c>
      <c r="B25" s="33">
        <v>12680</v>
      </c>
    </row>
    <row r="26" spans="1:2" x14ac:dyDescent="0.25">
      <c r="A26" s="24" t="s">
        <v>64</v>
      </c>
      <c r="B26" s="33">
        <v>32380</v>
      </c>
    </row>
    <row r="27" spans="1:2" x14ac:dyDescent="0.25">
      <c r="A27" s="24" t="s">
        <v>65</v>
      </c>
      <c r="B27" s="33">
        <v>19040</v>
      </c>
    </row>
    <row r="28" spans="1:2" x14ac:dyDescent="0.25">
      <c r="A28" s="24" t="s">
        <v>31</v>
      </c>
      <c r="B28" s="33">
        <v>5170</v>
      </c>
    </row>
    <row r="29" spans="1:2" x14ac:dyDescent="0.25">
      <c r="A29" s="24" t="s">
        <v>30</v>
      </c>
      <c r="B29" s="33">
        <v>5130</v>
      </c>
    </row>
    <row r="30" spans="1:2" x14ac:dyDescent="0.25">
      <c r="A30" s="24" t="s">
        <v>66</v>
      </c>
      <c r="B30" s="33">
        <v>4740</v>
      </c>
    </row>
    <row r="31" spans="1:2" x14ac:dyDescent="0.25">
      <c r="A31" s="29" t="s">
        <v>67</v>
      </c>
      <c r="B31" s="33">
        <v>10070</v>
      </c>
    </row>
    <row r="32" spans="1:2" x14ac:dyDescent="0.25">
      <c r="A32" s="25" t="s">
        <v>68</v>
      </c>
      <c r="B32" s="33">
        <v>34520</v>
      </c>
    </row>
    <row r="33" spans="1:2" x14ac:dyDescent="0.25">
      <c r="A33" s="25" t="s">
        <v>32</v>
      </c>
      <c r="B33" s="33">
        <v>42250</v>
      </c>
    </row>
    <row r="34" spans="1:2" x14ac:dyDescent="0.25">
      <c r="A34" s="25" t="s">
        <v>69</v>
      </c>
      <c r="B34" s="33">
        <v>49430</v>
      </c>
    </row>
    <row r="35" spans="1:2" x14ac:dyDescent="0.25">
      <c r="A35" s="25" t="s">
        <v>70</v>
      </c>
      <c r="B35" s="33">
        <v>30220</v>
      </c>
    </row>
    <row r="36" spans="1:2" x14ac:dyDescent="0.25">
      <c r="A36" s="25" t="s">
        <v>71</v>
      </c>
      <c r="B36" s="33">
        <v>36250</v>
      </c>
    </row>
    <row r="37" spans="1:2" x14ac:dyDescent="0.25">
      <c r="A37" s="25" t="s">
        <v>72</v>
      </c>
      <c r="B37" s="33">
        <v>43360</v>
      </c>
    </row>
    <row r="38" spans="1:2" x14ac:dyDescent="0.25">
      <c r="A38" s="30" t="s">
        <v>73</v>
      </c>
      <c r="B38" s="33">
        <v>83990</v>
      </c>
    </row>
    <row r="39" spans="1:2" x14ac:dyDescent="0.25">
      <c r="A39" s="25" t="s">
        <v>74</v>
      </c>
      <c r="B39" s="33">
        <v>183190</v>
      </c>
    </row>
    <row r="40" spans="1:2" x14ac:dyDescent="0.25">
      <c r="A40" s="25" t="s">
        <v>75</v>
      </c>
      <c r="B40" s="33">
        <v>164900</v>
      </c>
    </row>
    <row r="41" spans="1:2" x14ac:dyDescent="0.25">
      <c r="A41" s="25" t="s">
        <v>76</v>
      </c>
      <c r="B41" s="33">
        <v>164900</v>
      </c>
    </row>
    <row r="42" spans="1:2" x14ac:dyDescent="0.25">
      <c r="A42" s="25" t="s">
        <v>77</v>
      </c>
      <c r="B42" s="33">
        <v>164900</v>
      </c>
    </row>
    <row r="43" spans="1:2" x14ac:dyDescent="0.25">
      <c r="A43" s="23" t="s">
        <v>78</v>
      </c>
      <c r="B43" s="33">
        <v>46410</v>
      </c>
    </row>
    <row r="44" spans="1:2" x14ac:dyDescent="0.25">
      <c r="A44" s="31" t="s">
        <v>79</v>
      </c>
      <c r="B44" s="33">
        <v>8110</v>
      </c>
    </row>
    <row r="45" spans="1:2" x14ac:dyDescent="0.25">
      <c r="A45" s="31" t="s">
        <v>80</v>
      </c>
      <c r="B45" s="33">
        <v>9020</v>
      </c>
    </row>
    <row r="46" spans="1:2" x14ac:dyDescent="0.25">
      <c r="A46" s="31" t="s">
        <v>81</v>
      </c>
      <c r="B46" s="33">
        <v>9650</v>
      </c>
    </row>
    <row r="47" spans="1:2" x14ac:dyDescent="0.25">
      <c r="A47" s="31" t="s">
        <v>82</v>
      </c>
      <c r="B47" s="33">
        <v>11290</v>
      </c>
    </row>
    <row r="48" spans="1:2" x14ac:dyDescent="0.25">
      <c r="A48" s="23" t="s">
        <v>83</v>
      </c>
      <c r="B48" s="33">
        <v>8110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641BD6-1697-4C56-AF59-6A6D4C8114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10</vt:i4>
      </vt:variant>
    </vt:vector>
  </HeadingPairs>
  <TitlesOfParts>
    <vt:vector size="13" baseType="lpstr">
      <vt:lpstr>Cotizador</vt:lpstr>
      <vt:lpstr>Precios Puertas</vt:lpstr>
      <vt:lpstr>Precios Herrajes</vt:lpstr>
      <vt:lpstr>ACCESORIOS</vt:lpstr>
      <vt:lpstr>descuentoTotalName</vt:lpstr>
      <vt:lpstr>fleteName</vt:lpstr>
      <vt:lpstr>I.V.A</vt:lpstr>
      <vt:lpstr>porcentajeDescuentoName</vt:lpstr>
      <vt:lpstr>PUERTAS</vt:lpstr>
      <vt:lpstr>puertasItemsName</vt:lpstr>
      <vt:lpstr>subtotalConDescuentoName</vt:lpstr>
      <vt:lpstr>subtotalParcialName</vt:lpstr>
      <vt:lpstr>subtotalRangeName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2023-08-01T15:24:30Z</dcterms:modified>
</cp:coreProperties>
</file>